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34295ac3cf074a2/Desktop/Loki/Training_Operations_Dashboard/Data/"/>
    </mc:Choice>
  </mc:AlternateContent>
  <xr:revisionPtr revIDLastSave="8" documentId="8_{41A73E78-8027-4B6C-B6A8-1E4A7C169A27}" xr6:coauthVersionLast="47" xr6:coauthVersionMax="47" xr10:uidLastSave="{2126DCF5-1F96-4703-9A99-0EAA4F338A9E}"/>
  <bookViews>
    <workbookView xWindow="2196" yWindow="2196" windowWidth="12504" windowHeight="8880" firstSheet="2" activeTab="3" xr2:uid="{00000000-000D-0000-FFFF-FFFF00000000}"/>
  </bookViews>
  <sheets>
    <sheet name="Raw_Data" sheetId="1" r:id="rId1"/>
    <sheet name="Cleaned_Data" sheetId="2" r:id="rId2"/>
    <sheet name="Reports" sheetId="3" r:id="rId3"/>
    <sheet name="Dashboard" sheetId="5" r:id="rId4"/>
  </sheets>
  <definedNames>
    <definedName name="_xlnm.Print_Area" localSheetId="3">Dashboard!$A$1:$L$48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5" l="1"/>
  <c r="D3" i="5"/>
  <c r="B3" i="5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2" i="2"/>
  <c r="H3" i="5" l="1"/>
</calcChain>
</file>

<file path=xl/sharedStrings.xml><?xml version="1.0" encoding="utf-8"?>
<sst xmlns="http://schemas.openxmlformats.org/spreadsheetml/2006/main" count="3426" uniqueCount="284">
  <si>
    <t>Employee_ID</t>
  </si>
  <si>
    <t>Employee_Name</t>
  </si>
  <si>
    <t>Department</t>
  </si>
  <si>
    <t>Training_ID</t>
  </si>
  <si>
    <t>Training_Name</t>
  </si>
  <si>
    <t>Enrollment_Date</t>
  </si>
  <si>
    <t>Completion_Date</t>
  </si>
  <si>
    <t>Completion_Status</t>
  </si>
  <si>
    <t>Score</t>
  </si>
  <si>
    <t>Mode</t>
  </si>
  <si>
    <t>Manager</t>
  </si>
  <si>
    <t>Remarks</t>
  </si>
  <si>
    <t>E001</t>
  </si>
  <si>
    <t>Divya Rani</t>
  </si>
  <si>
    <t>Finance</t>
  </si>
  <si>
    <t>T001</t>
  </si>
  <si>
    <t>Excel Basics</t>
  </si>
  <si>
    <t>2025-01-17</t>
  </si>
  <si>
    <t>2025-01-20</t>
  </si>
  <si>
    <t>Completed</t>
  </si>
  <si>
    <t>Self-paced</t>
  </si>
  <si>
    <t>Shreya Iyer</t>
  </si>
  <si>
    <t>-</t>
  </si>
  <si>
    <t>E002</t>
  </si>
  <si>
    <t>Harika Das</t>
  </si>
  <si>
    <t>Sales</t>
  </si>
  <si>
    <t>T005</t>
  </si>
  <si>
    <t>Communication Skills</t>
  </si>
  <si>
    <t>2025-01-18</t>
  </si>
  <si>
    <t>In Progress</t>
  </si>
  <si>
    <t>Anita Rao</t>
  </si>
  <si>
    <t>Needs follow-up</t>
  </si>
  <si>
    <t>E003</t>
  </si>
  <si>
    <t>Rohit Nair</t>
  </si>
  <si>
    <t>T002</t>
  </si>
  <si>
    <t>Email Etiquette</t>
  </si>
  <si>
    <t>2025-01-03</t>
  </si>
  <si>
    <t>Not Started</t>
  </si>
  <si>
    <t>Instructor-led</t>
  </si>
  <si>
    <t>Ajay Patel</t>
  </si>
  <si>
    <t>E004</t>
  </si>
  <si>
    <t>Priya Singh</t>
  </si>
  <si>
    <t>Marketing</t>
  </si>
  <si>
    <t>2025-01-16</t>
  </si>
  <si>
    <t>E005</t>
  </si>
  <si>
    <t>Engineering</t>
  </si>
  <si>
    <t>2025-01-09</t>
  </si>
  <si>
    <t>Virtual</t>
  </si>
  <si>
    <t>E006</t>
  </si>
  <si>
    <t>Suresh Kumar</t>
  </si>
  <si>
    <t>T006</t>
  </si>
  <si>
    <t>Leadership 101</t>
  </si>
  <si>
    <t>2025-01-21</t>
  </si>
  <si>
    <t>2025-01-26</t>
  </si>
  <si>
    <t>E007</t>
  </si>
  <si>
    <t>Santosh Patil</t>
  </si>
  <si>
    <t>HR</t>
  </si>
  <si>
    <t>2025-01-06</t>
  </si>
  <si>
    <t>Kiran Rao</t>
  </si>
  <si>
    <t>E008</t>
  </si>
  <si>
    <t>Operations</t>
  </si>
  <si>
    <t>T003</t>
  </si>
  <si>
    <t>PowerPoint Essentials</t>
  </si>
  <si>
    <t>2025-01-12</t>
  </si>
  <si>
    <t>E009</t>
  </si>
  <si>
    <t>Aditya Menon</t>
  </si>
  <si>
    <t>2025-01-15</t>
  </si>
  <si>
    <t>Manish Varma</t>
  </si>
  <si>
    <t>E010</t>
  </si>
  <si>
    <t>Meera Joshi</t>
  </si>
  <si>
    <t>2025-01-02</t>
  </si>
  <si>
    <t>2025-01-14</t>
  </si>
  <si>
    <t>E011</t>
  </si>
  <si>
    <t>Nisha Gupta</t>
  </si>
  <si>
    <t>E012</t>
  </si>
  <si>
    <t>Pavan Raj</t>
  </si>
  <si>
    <t>E013</t>
  </si>
  <si>
    <t>2025-01-10</t>
  </si>
  <si>
    <t>E014</t>
  </si>
  <si>
    <t>2025-01-22</t>
  </si>
  <si>
    <t>E015</t>
  </si>
  <si>
    <t>Arjun Reddy</t>
  </si>
  <si>
    <t>2025-01-08</t>
  </si>
  <si>
    <t>E016</t>
  </si>
  <si>
    <t>Kiran Kumar</t>
  </si>
  <si>
    <t>2025-01-23</t>
  </si>
  <si>
    <t>E017</t>
  </si>
  <si>
    <t>E018</t>
  </si>
  <si>
    <t>T004</t>
  </si>
  <si>
    <t>Time Management</t>
  </si>
  <si>
    <t>E019</t>
  </si>
  <si>
    <t>2025-01-29</t>
  </si>
  <si>
    <t>E020</t>
  </si>
  <si>
    <t>E021</t>
  </si>
  <si>
    <t>Ayesha Khan</t>
  </si>
  <si>
    <t>2025-01-11</t>
  </si>
  <si>
    <t>E022</t>
  </si>
  <si>
    <t>E023</t>
  </si>
  <si>
    <t>E024</t>
  </si>
  <si>
    <t>Ravi Teja</t>
  </si>
  <si>
    <t>2025-01-24</t>
  </si>
  <si>
    <t>2025-02-05</t>
  </si>
  <si>
    <t>E025</t>
  </si>
  <si>
    <t>E026</t>
  </si>
  <si>
    <t>2025-01-19</t>
  </si>
  <si>
    <t>E027</t>
  </si>
  <si>
    <t>E028</t>
  </si>
  <si>
    <t>2025-01-25</t>
  </si>
  <si>
    <t>E029</t>
  </si>
  <si>
    <t>E030</t>
  </si>
  <si>
    <t>E031</t>
  </si>
  <si>
    <t>2025-01-04</t>
  </si>
  <si>
    <t>E032</t>
  </si>
  <si>
    <t>E033</t>
  </si>
  <si>
    <t>Kavya Patel</t>
  </si>
  <si>
    <t>E034</t>
  </si>
  <si>
    <t>E035</t>
  </si>
  <si>
    <t>E036</t>
  </si>
  <si>
    <t>Rahul Sharma</t>
  </si>
  <si>
    <t>E037</t>
  </si>
  <si>
    <t>E038</t>
  </si>
  <si>
    <t>E039</t>
  </si>
  <si>
    <t>2025-01-13</t>
  </si>
  <si>
    <t>E040</t>
  </si>
  <si>
    <t>2025-01-28</t>
  </si>
  <si>
    <t>E041</t>
  </si>
  <si>
    <t>E042</t>
  </si>
  <si>
    <t>E043</t>
  </si>
  <si>
    <t>2025-01-27</t>
  </si>
  <si>
    <t>E044</t>
  </si>
  <si>
    <t>E045</t>
  </si>
  <si>
    <t>E046</t>
  </si>
  <si>
    <t>E047</t>
  </si>
  <si>
    <t>2025-01-07</t>
  </si>
  <si>
    <t>E048</t>
  </si>
  <si>
    <t>Sneha Kapoor</t>
  </si>
  <si>
    <t>E049</t>
  </si>
  <si>
    <t>E050</t>
  </si>
  <si>
    <t>E051</t>
  </si>
  <si>
    <t>E052</t>
  </si>
  <si>
    <t>Chandana</t>
  </si>
  <si>
    <t>E053</t>
  </si>
  <si>
    <t>E054</t>
  </si>
  <si>
    <t>2025-01-31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</si>
  <si>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</si>
  <si>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</si>
  <si>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</si>
  <si>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</si>
  <si>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</si>
  <si>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</si>
  <si>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</si>
  <si>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</si>
  <si>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</si>
  <si>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</si>
  <si>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</si>
  <si>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</si>
  <si>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</si>
  <si>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</si>
  <si>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</si>
  <si>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</si>
  <si>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</si>
  <si>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2025-02-04</t>
  </si>
  <si>
    <t>E072</t>
  </si>
  <si>
    <t>Lakshmi Devi</t>
  </si>
  <si>
    <t>E073</t>
  </si>
  <si>
    <t>Vikram Jain</t>
  </si>
  <si>
    <t>E074</t>
  </si>
  <si>
    <t>2025-01-01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</si>
  <si>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</si>
  <si>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</si>
  <si>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</si>
  <si>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</si>
  <si>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</si>
  <si>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</si>
  <si>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</si>
  <si>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</si>
  <si>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</si>
  <si>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</si>
  <si>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</si>
  <si>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</si>
  <si>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</si>
  <si>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</si>
  <si>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</si>
  <si>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</si>
  <si>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2025-01-05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</si>
  <si>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</si>
  <si>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</si>
  <si>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</si>
  <si>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</si>
  <si>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</si>
  <si>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</si>
  <si>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</si>
  <si>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</si>
  <si>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</si>
  <si>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</si>
  <si>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</si>
  <si>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</si>
  <si>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</si>
  <si>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</si>
  <si>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</si>
  <si>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</si>
  <si>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</si>
  <si>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</si>
  <si>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</si>
  <si>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</si>
  <si>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</si>
  <si>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</si>
  <si>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</si>
  <si>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</si>
  <si>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</si>
  <si>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</si>
  <si>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</si>
  <si>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</si>
  <si>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</si>
  <si>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</si>
  <si>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</si>
  <si>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</si>
  <si>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</si>
  <si>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</si>
  <si>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</si>
  <si>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</si>
  <si>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2025-02-03</t>
  </si>
  <si>
    <t>E127</t>
  </si>
  <si>
    <t>E128</t>
  </si>
  <si>
    <t>2025-01-30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</si>
  <si>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</si>
  <si>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</si>
  <si>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</si>
  <si>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</si>
  <si>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</si>
  <si>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</si>
  <si>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</si>
  <si>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</si>
  <si>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</si>
  <si>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</si>
  <si>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</si>
  <si>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</si>
  <si>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</si>
  <si>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</si>
  <si>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</si>
  <si>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</si>
  <si>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</si>
  <si>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</si>
  <si>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</si>
  <si>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</si>
  <si>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</si>
  <si>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</si>
  <si>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Days_To_Complete</t>
  </si>
  <si>
    <t>Is_Overdue</t>
  </si>
  <si>
    <t>Row Labels</t>
  </si>
  <si>
    <t>Grand Total</t>
  </si>
  <si>
    <t>Count of Employee_ID</t>
  </si>
  <si>
    <t>Column Labels</t>
  </si>
  <si>
    <t>(Multiple Items)</t>
  </si>
  <si>
    <t>Yes</t>
  </si>
  <si>
    <t>Average of Days_To_Complete</t>
  </si>
  <si>
    <t>Aditya Menon Total</t>
  </si>
  <si>
    <t>Arjun Reddy Total</t>
  </si>
  <si>
    <t>Chandana Total</t>
  </si>
  <si>
    <t>Divya Rani Total</t>
  </si>
  <si>
    <t>Harika Das Total</t>
  </si>
  <si>
    <t>Kavya Patel Total</t>
  </si>
  <si>
    <t>Pavan Raj Total</t>
  </si>
  <si>
    <t>Rahul Sharma Total</t>
  </si>
  <si>
    <t>Ravi Teja Total</t>
  </si>
  <si>
    <t>Vikram Jain Total</t>
  </si>
  <si>
    <t>Engineering Total</t>
  </si>
  <si>
    <t>Ayesha Khan Total</t>
  </si>
  <si>
    <t>Lakshmi Devi Total</t>
  </si>
  <si>
    <t>Meera Joshi Total</t>
  </si>
  <si>
    <t>Nisha Gupta Total</t>
  </si>
  <si>
    <t>Priya Singh Total</t>
  </si>
  <si>
    <t>Rohit Nair Total</t>
  </si>
  <si>
    <t>Finance Total</t>
  </si>
  <si>
    <t>Kiran Kumar Total</t>
  </si>
  <si>
    <t>Sneha Kapoor Total</t>
  </si>
  <si>
    <t>HR Total</t>
  </si>
  <si>
    <t>Santosh Patil Total</t>
  </si>
  <si>
    <t>Suresh Kumar Total</t>
  </si>
  <si>
    <t>Marketing Total</t>
  </si>
  <si>
    <t>Operations Total</t>
  </si>
  <si>
    <t>Sales Total</t>
  </si>
  <si>
    <t>TRAINING OPERATIONS DASHBOARD — JAN 2025</t>
  </si>
  <si>
    <t>Count of Is_Overdue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</si>
</sst>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[Taining_Operations_Data.xlsx]Reports!PivotTable1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6111111111111013E-2"/>
              <c:y val="-0.125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-4721"/>
                    <a:gd name="adj2" fmla="val 48564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777777777777784"/>
              <c:y val="6.4814814814814811E-2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51544"/>
                    <a:gd name="adj2" fmla="val -24039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780365617269849"/>
              <c:y val="-9.4987991402297425E-2"/>
            </c:manualLayout>
          </c:layout>
          <c:spPr>
            <a:solidFill>
              <a:sysClr val="window" lastClr="FFFFFF"/>
            </a:solidFill>
            <a:ln w="9525" cap="flat" cmpd="sng" algn="ctr">
              <a:solidFill>
                <a:schemeClr val="bg1"/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45947"/>
                    <a:gd name="adj2" fmla="val 1053"/>
                  </a:avLst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Reports!$B$1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47-4643-A0CD-B30DB042B9E0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47-4643-A0CD-B30DB042B9E0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47-4643-A0CD-B30DB042B9E0}"/>
              </c:ext>
            </c:extLst>
          </c:dPt>
          <c:dLbls>
            <c:dLbl>
              <c:idx val="0"/>
              <c:layout>
                <c:manualLayout>
                  <c:x val="8.6111111111111013E-2"/>
                  <c:y val="-0.125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chemeClr val="bg1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t" anchorCtr="0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4721"/>
                        <a:gd name="adj2" fmla="val 48564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F647-4643-A0CD-B30DB042B9E0}"/>
                </c:ext>
              </c:extLst>
            </c:dLbl>
            <c:dLbl>
              <c:idx val="1"/>
              <c:layout>
                <c:manualLayout>
                  <c:x val="-0.17777777777777784"/>
                  <c:y val="6.4814814814814811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chemeClr val="bg1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t" anchorCtr="0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51544"/>
                        <a:gd name="adj2" fmla="val -24039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F647-4643-A0CD-B30DB042B9E0}"/>
                </c:ext>
              </c:extLst>
            </c:dLbl>
            <c:dLbl>
              <c:idx val="2"/>
              <c:layout>
                <c:manualLayout>
                  <c:x val="-0.13780365617269849"/>
                  <c:y val="-9.4987991402297425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chemeClr val="bg1"/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t" anchorCtr="0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45947"/>
                        <a:gd name="adj2" fmla="val 1053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F647-4643-A0CD-B30DB042B9E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Reports!$A$2:$A$5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Reports!$B$2:$B$5</c:f>
              <c:numCache>
                <c:formatCode>0.00%</c:formatCode>
                <c:ptCount val="3"/>
                <c:pt idx="0">
                  <c:v>0.38666666666666666</c:v>
                </c:pt>
                <c:pt idx="1">
                  <c:v>0.25333333333333335</c:v>
                </c:pt>
                <c:pt idx="2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47-4643-A0CD-B30DB042B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[Taining_Operations_Data.xlsx]Reports!PivotTable7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Reports!$B$15:$B$16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Reports!$A$17:$A$23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Reports!$B$17:$B$23</c:f>
              <c:numCache>
                <c:formatCode>General</c:formatCode>
                <c:ptCount val="6"/>
                <c:pt idx="0">
                  <c:v>9</c:v>
                </c:pt>
                <c:pt idx="1">
                  <c:v>11</c:v>
                </c:pt>
                <c:pt idx="2">
                  <c:v>9</c:v>
                </c:pt>
                <c:pt idx="3">
                  <c:v>12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A-4E0D-9B09-4C7C6A6534FD}"/>
            </c:ext>
          </c:extLst>
        </c:ser>
        <c:ser>
          <c:idx val="1"/>
          <c:order val="1"/>
          <c:tx>
            <c:strRef>
              <c:f>Reports!$C$15:$C$16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Reports!$A$17:$A$23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Reports!$C$17:$C$23</c:f>
              <c:numCache>
                <c:formatCode>General</c:formatCode>
                <c:ptCount val="6"/>
                <c:pt idx="0">
                  <c:v>8</c:v>
                </c:pt>
                <c:pt idx="1">
                  <c:v>3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A-4E0D-9B09-4C7C6A6534FD}"/>
            </c:ext>
          </c:extLst>
        </c:ser>
        <c:ser>
          <c:idx val="2"/>
          <c:order val="2"/>
          <c:tx>
            <c:strRef>
              <c:f>Reports!$D$15:$D$16</c:f>
              <c:strCache>
                <c:ptCount val="1"/>
                <c:pt idx="0">
                  <c:v>Not Started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Reports!$A$17:$A$23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Reports!$D$17:$D$23</c:f>
              <c:numCache>
                <c:formatCode>General</c:formatCode>
                <c:ptCount val="6"/>
                <c:pt idx="0">
                  <c:v>3</c:v>
                </c:pt>
                <c:pt idx="1">
                  <c:v>13</c:v>
                </c:pt>
                <c:pt idx="2">
                  <c:v>10</c:v>
                </c:pt>
                <c:pt idx="3">
                  <c:v>11</c:v>
                </c:pt>
                <c:pt idx="4">
                  <c:v>10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6A-4E0D-9B09-4C7C6A6534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9269744"/>
        <c:axId val="849272144"/>
      </c:barChart>
      <c:catAx>
        <c:axId val="84926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72144"/>
        <c:crosses val="autoZero"/>
        <c:auto val="1"/>
        <c:lblAlgn val="ctr"/>
        <c:lblOffset val="100"/>
        <c:noMultiLvlLbl val="0"/>
      </c:catAx>
      <c:valAx>
        <c:axId val="8492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6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[Taining_Operations_Data.xlsx]Cleaned_Data!PivotTable11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Cleaned_Data!$P$5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Cleaned_Data!$O$6:$O$12</c:f>
              <c:strCache>
                <c:ptCount val="6"/>
                <c:pt idx="0">
                  <c:v>Engineering</c:v>
                </c:pt>
                <c:pt idx="1">
                  <c:v>Finance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Cleaned_Data!$P$6:$P$12</c:f>
              <c:numCache>
                <c:formatCode>General</c:formatCode>
                <c:ptCount val="6"/>
                <c:pt idx="0">
                  <c:v>11</c:v>
                </c:pt>
                <c:pt idx="1">
                  <c:v>16</c:v>
                </c:pt>
                <c:pt idx="2">
                  <c:v>18</c:v>
                </c:pt>
                <c:pt idx="3">
                  <c:v>18</c:v>
                </c:pt>
                <c:pt idx="4">
                  <c:v>16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6-4C53-A8C0-EB3B3B08063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49238544"/>
        <c:axId val="849234704"/>
      </c:barChart>
      <c:catAx>
        <c:axId val="84923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34704"/>
        <c:crosses val="autoZero"/>
        <c:auto val="1"/>
        <c:lblAlgn val="ctr"/>
        <c:lblOffset val="100"/>
        <c:noMultiLvlLbl val="0"/>
      </c:catAx>
      <c:valAx>
        <c:axId val="84923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3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[Taining_Operations_Data.xlsx]Reports!PivotTable10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Reports!$F$50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Reports!$E$51:$E$57</c:f>
              <c:strCache>
                <c:ptCount val="6"/>
                <c:pt idx="0">
                  <c:v>Communication Skills</c:v>
                </c:pt>
                <c:pt idx="1">
                  <c:v>Email Etiquette</c:v>
                </c:pt>
                <c:pt idx="2">
                  <c:v>Excel Basics</c:v>
                </c:pt>
                <c:pt idx="3">
                  <c:v>Leadership 101</c:v>
                </c:pt>
                <c:pt idx="4">
                  <c:v>PowerPoint Essentials</c:v>
                </c:pt>
                <c:pt idx="5">
                  <c:v>Time Management</c:v>
                </c:pt>
              </c:strCache>
            </c:strRef>
          </c:cat>
          <c:val>
            <c:numRef>
              <c:f>Reports!$F$51:$F$57</c:f>
              <c:numCache>
                <c:formatCode>0</c:formatCode>
                <c:ptCount val="6"/>
                <c:pt idx="0">
                  <c:v>8.8333333333333339</c:v>
                </c:pt>
                <c:pt idx="1">
                  <c:v>6.9</c:v>
                </c:pt>
                <c:pt idx="2">
                  <c:v>6</c:v>
                </c:pt>
                <c:pt idx="3">
                  <c:v>8.2666666666666675</c:v>
                </c:pt>
                <c:pt idx="4">
                  <c:v>8.7142857142857135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3-4F85-8589-927D14BE92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54815632"/>
        <c:axId val="654814192"/>
      </c:barChart>
      <c:catAx>
        <c:axId val="65481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14192"/>
        <c:crosses val="autoZero"/>
        <c:auto val="1"/>
        <c:lblAlgn val="ctr"/>
        <c:lblOffset val="100"/>
        <c:noMultiLvlLbl val="0"/>
      </c:catAx>
      <c:valAx>
        <c:axId val="65481419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81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</xdr:row>
      <xdr:rowOff>7620</xdr:rowOff>
    </xdr:from>
    <xdr:to>
      <xdr:col>2</xdr:col>
      <xdr:colOff>2079</xdr:colOff>
      <xdr:row>2</xdr:row>
      <xdr:rowOff>2293620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130A5D0-EC68-F6B2-8BE7-950E2417E69B}"/>
            </a:ext>
          </a:extLst>
        </xdr:cNvPr>
        <xdr:cNvSpPr/>
      </xdr:nvSpPr>
      <xdr:spPr>
        <a:xfrm>
          <a:off x="619718" y="482309"/>
          <a:ext cx="2080591" cy="2286000"/>
        </a:xfrm>
        <a:prstGeom prst="rec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000">
              <a:solidFill>
                <a:srgbClr val="00B050"/>
              </a:solidFill>
              <a:latin typeface="Segoe UI" panose="020B0502040204020203" pitchFamily="34" charset="0"/>
              <a:cs typeface="Segoe UI" panose="020B0502040204020203" pitchFamily="34" charset="0"/>
            </a:rPr>
            <a:t>150</a:t>
          </a:r>
        </a:p>
        <a:p>
          <a:pPr algn="ctr"/>
          <a:r>
            <a:rPr lang="en-IN" sz="1100">
              <a:solidFill>
                <a:srgbClr val="00B050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Trainings</a:t>
          </a:r>
        </a:p>
      </xdr:txBody>
    </xdr:sp>
    <xdr:clientData/>
  </xdr:twoCellAnchor>
  <xdr:twoCellAnchor>
    <xdr:from>
      <xdr:col>2</xdr:col>
      <xdr:colOff>574886</xdr:colOff>
      <xdr:row>2</xdr:row>
      <xdr:rowOff>21863</xdr:rowOff>
    </xdr:from>
    <xdr:to>
      <xdr:col>4</xdr:col>
      <xdr:colOff>10775</xdr:colOff>
      <xdr:row>3</xdr:row>
      <xdr:rowOff>14243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C70B5D3-3C93-EE9B-0745-AF9C0C19F37C}"/>
            </a:ext>
          </a:extLst>
        </xdr:cNvPr>
        <xdr:cNvSpPr/>
      </xdr:nvSpPr>
      <xdr:spPr>
        <a:xfrm>
          <a:off x="3276522" y="479063"/>
          <a:ext cx="1777308" cy="2306089"/>
        </a:xfrm>
        <a:prstGeom prst="rec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>
              <a:solidFill>
                <a:srgbClr val="00B050"/>
              </a:solidFill>
              <a:latin typeface="Segoe UI" panose="020B0502040204020203" pitchFamily="34" charset="0"/>
              <a:cs typeface="Segoe UI" panose="020B0502040204020203" pitchFamily="34" charset="0"/>
            </a:rPr>
            <a:t>38.7 %</a:t>
          </a:r>
        </a:p>
        <a:p>
          <a:pPr algn="ctr"/>
          <a:r>
            <a:rPr lang="en-IN" sz="1100">
              <a:solidFill>
                <a:srgbClr val="00B050"/>
              </a:solidFill>
              <a:latin typeface="Segoe UI" panose="020B0502040204020203" pitchFamily="34" charset="0"/>
              <a:cs typeface="Segoe UI" panose="020B0502040204020203" pitchFamily="34" charset="0"/>
            </a:rPr>
            <a:t>Completion Rate</a:t>
          </a:r>
        </a:p>
      </xdr:txBody>
    </xdr:sp>
    <xdr:clientData/>
  </xdr:twoCellAnchor>
  <xdr:twoCellAnchor>
    <xdr:from>
      <xdr:col>5</xdr:col>
      <xdr:colOff>3411</xdr:colOff>
      <xdr:row>2</xdr:row>
      <xdr:rowOff>32870</xdr:rowOff>
    </xdr:from>
    <xdr:to>
      <xdr:col>6</xdr:col>
      <xdr:colOff>6321</xdr:colOff>
      <xdr:row>2</xdr:row>
      <xdr:rowOff>2290960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DF8DD2A-1C2D-953E-9487-AC80160722B3}"/>
            </a:ext>
          </a:extLst>
        </xdr:cNvPr>
        <xdr:cNvSpPr/>
      </xdr:nvSpPr>
      <xdr:spPr>
        <a:xfrm>
          <a:off x="5905447" y="490070"/>
          <a:ext cx="1928692" cy="2258090"/>
        </a:xfrm>
        <a:prstGeom prst="rec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>
              <a:solidFill>
                <a:srgbClr val="00B050"/>
              </a:solidFill>
            </a:rPr>
            <a:t>92 </a:t>
          </a:r>
        </a:p>
        <a:p>
          <a:pPr algn="ctr"/>
          <a:r>
            <a:rPr lang="en-IN" sz="1100">
              <a:solidFill>
                <a:srgbClr val="00B050"/>
              </a:solidFill>
              <a:latin typeface="Segoe UI" panose="020B0502040204020203" pitchFamily="34" charset="0"/>
              <a:cs typeface="Segoe UI" panose="020B0502040204020203" pitchFamily="34" charset="0"/>
            </a:rPr>
            <a:t>Pending Trainings</a:t>
          </a:r>
        </a:p>
      </xdr:txBody>
    </xdr:sp>
    <xdr:clientData/>
  </xdr:twoCellAnchor>
  <xdr:twoCellAnchor>
    <xdr:from>
      <xdr:col>7</xdr:col>
      <xdr:colOff>19728</xdr:colOff>
      <xdr:row>1</xdr:row>
      <xdr:rowOff>171414</xdr:rowOff>
    </xdr:from>
    <xdr:to>
      <xdr:col>8</xdr:col>
      <xdr:colOff>21019</xdr:colOff>
      <xdr:row>2</xdr:row>
      <xdr:rowOff>2272449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C942A49-7FE3-D5D2-0D67-BC438CCD8E19}"/>
            </a:ext>
          </a:extLst>
        </xdr:cNvPr>
        <xdr:cNvSpPr/>
      </xdr:nvSpPr>
      <xdr:spPr>
        <a:xfrm>
          <a:off x="8748092" y="448505"/>
          <a:ext cx="1830091" cy="2281144"/>
        </a:xfrm>
        <a:prstGeom prst="rect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>
              <a:solidFill>
                <a:srgbClr val="00B050"/>
              </a:solidFill>
              <a:latin typeface="Segoe UI" panose="020B0502040204020203" pitchFamily="34" charset="0"/>
              <a:cs typeface="Segoe UI" panose="020B0502040204020203" pitchFamily="34" charset="0"/>
            </a:rPr>
            <a:t>92</a:t>
          </a:r>
          <a:endParaRPr lang="en-IN" sz="1100">
            <a:solidFill>
              <a:srgbClr val="00B05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algn="ctr"/>
          <a:r>
            <a:rPr lang="en-IN" sz="1100">
              <a:solidFill>
                <a:srgbClr val="00B050"/>
              </a:solidFill>
              <a:latin typeface="Segoe UI" panose="020B0502040204020203" pitchFamily="34" charset="0"/>
              <a:cs typeface="Segoe UI" panose="020B0502040204020203" pitchFamily="34" charset="0"/>
            </a:rPr>
            <a:t>overdue Trainings</a:t>
          </a:r>
        </a:p>
      </xdr:txBody>
    </xdr:sp>
    <xdr:clientData/>
  </xdr:twoCellAnchor>
  <xdr:twoCellAnchor>
    <xdr:from>
      <xdr:col>1</xdr:col>
      <xdr:colOff>167456</xdr:colOff>
      <xdr:row>5</xdr:row>
      <xdr:rowOff>164230</xdr:rowOff>
    </xdr:from>
    <xdr:to>
      <xdr:col>4</xdr:col>
      <xdr:colOff>758099</xdr:colOff>
      <xdr:row>21</xdr:row>
      <xdr:rowOff>89538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550B5D0E-8613-9243-9AA7-69E0AB7131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1067462</xdr:colOff>
      <xdr:row>5</xdr:row>
      <xdr:rowOff>133570</xdr:rowOff>
    </xdr:from>
    <xdr:to>
      <xdr:col>11</xdr:col>
      <xdr:colOff>39510</xdr:colOff>
      <xdr:row>21</xdr:row>
      <xdr:rowOff>120198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6AF9E871-EFEA-544B-EC77-4036AFFAB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463819</xdr:colOff>
      <xdr:row>28</xdr:row>
      <xdr:rowOff>119101</xdr:rowOff>
    </xdr:from>
    <xdr:to>
      <xdr:col>4</xdr:col>
      <xdr:colOff>336362</xdr:colOff>
      <xdr:row>44</xdr:row>
      <xdr:rowOff>54688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DD82A86F-E89D-0473-641C-5F626B4B2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922575</xdr:colOff>
      <xdr:row>28</xdr:row>
      <xdr:rowOff>122316</xdr:rowOff>
    </xdr:from>
    <xdr:to>
      <xdr:col>10</xdr:col>
      <xdr:colOff>446781</xdr:colOff>
      <xdr:row>44</xdr:row>
      <xdr:rowOff>149051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D6B5956A-E43F-0B0E-6EE2-7615152BC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1565762</xdr:colOff>
      <xdr:row>6</xdr:row>
      <xdr:rowOff>43056</xdr:rowOff>
    </xdr:from>
    <xdr:to>
      <xdr:col>3</xdr:col>
      <xdr:colOff>858177</xdr:colOff>
      <xdr:row>7</xdr:row>
      <xdr:rowOff>123021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1245FEE-9E11-3DBF-1ECF-5EAFEB7DB895}"/>
            </a:ext>
          </a:extLst>
        </xdr:cNvPr>
        <xdr:cNvSpPr txBox="1"/>
      </xdr:nvSpPr>
      <xdr:spPr>
        <a:xfrm>
          <a:off x="2175362" y="3354292"/>
          <a:ext cx="1994051" cy="26007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Training Completion Status (%)</a:t>
          </a:r>
          <a:endParaRPr lang="en-IN" sz="1100" b="1"/>
        </a:p>
      </xdr:txBody>
    </xdr:sp>
    <xdr:clientData/>
  </xdr:twoCellAnchor>
  <xdr:twoCellAnchor>
    <xdr:from>
      <xdr:col>1</xdr:col>
      <xdr:colOff>1231856</xdr:colOff>
      <xdr:row>28</xdr:row>
      <xdr:rowOff>162464</xdr:rowOff>
    </xdr:from>
    <xdr:to>
      <xdr:col>3</xdr:col>
      <xdr:colOff>625187</xdr:colOff>
      <xdr:row>30</xdr:row>
      <xdr:rowOff>120427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45C5CE3-6A20-6123-0801-8BBCAEF69BC4}"/>
            </a:ext>
          </a:extLst>
        </xdr:cNvPr>
        <xdr:cNvSpPr txBox="1"/>
      </xdr:nvSpPr>
      <xdr:spPr>
        <a:xfrm>
          <a:off x="1841456" y="7436100"/>
          <a:ext cx="2094967" cy="31818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b="1"/>
            <a:t>Pending/Overdue Trainings</a:t>
          </a:r>
          <a:endParaRPr lang="en-IN" sz="1100" b="1"/>
        </a:p>
      </xdr:txBody>
    </xdr:sp>
    <xdr:clientData/>
  </xdr:twoCellAnchor>
  <xdr:twoCellAnchor>
    <xdr:from>
      <xdr:col>7</xdr:col>
      <xdr:colOff>1500022</xdr:colOff>
      <xdr:row>6</xdr:row>
      <xdr:rowOff>44598</xdr:rowOff>
    </xdr:from>
    <xdr:to>
      <xdr:col>10</xdr:col>
      <xdr:colOff>571294</xdr:colOff>
      <xdr:row>7</xdr:row>
      <xdr:rowOff>176513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C3D724E-D09C-9D78-09F1-A328010D71C8}"/>
            </a:ext>
          </a:extLst>
        </xdr:cNvPr>
        <xdr:cNvSpPr txBox="1"/>
      </xdr:nvSpPr>
      <xdr:spPr>
        <a:xfrm>
          <a:off x="10228386" y="3355834"/>
          <a:ext cx="2119272" cy="31202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b="1"/>
            <a:t>Department-wise Training Status</a:t>
          </a:r>
          <a:endParaRPr lang="en-IN" sz="1100" b="1"/>
        </a:p>
      </xdr:txBody>
    </xdr:sp>
    <xdr:clientData/>
  </xdr:twoCellAnchor>
  <xdr:twoCellAnchor>
    <xdr:from>
      <xdr:col>6</xdr:col>
      <xdr:colOff>390858</xdr:colOff>
      <xdr:row>29</xdr:row>
      <xdr:rowOff>33038</xdr:rowOff>
    </xdr:from>
    <xdr:to>
      <xdr:col>7</xdr:col>
      <xdr:colOff>1728118</xdr:colOff>
      <xdr:row>30</xdr:row>
      <xdr:rowOff>161992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2504B3E-1F95-0608-3027-4EFF6A71DE38}"/>
            </a:ext>
          </a:extLst>
        </xdr:cNvPr>
        <xdr:cNvSpPr txBox="1"/>
      </xdr:nvSpPr>
      <xdr:spPr>
        <a:xfrm>
          <a:off x="8218676" y="7486783"/>
          <a:ext cx="2237806" cy="30906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b="1"/>
            <a:t>Average Days to Complete Training</a:t>
          </a:r>
          <a:endParaRPr lang="en-IN" sz="1100" b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esh Bainaboina" refreshedDate="45981.666797685182" createdVersion="8" refreshedVersion="8" minRefreshableVersion="3" recordCount="150" xr:uid="{4C9FD7E5-2681-48E2-9AA7-EC7ED6FE8F22}">
  <cacheSource type="worksheet">
    <worksheetSource ref="A1:N151" sheet="Cleaned_Data"/>
  </cacheSource>
  <cacheFields count="14">
    <cacheField name="Employee_ID" numFmtId="0">
      <sharedItems count="15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s v="E051"/>
        <s v="E052"/>
        <s v="E053"/>
        <s v="E054"/>
        <s v="E055"/>
        <s v="E056"/>
        <s v="E057"/>
        <s v="E058"/>
        <s v="E059"/>
        <s v="E060"/>
        <s v="E061"/>
        <s v="E062"/>
        <s v="E063"/>
        <s v="E064"/>
        <s v="E065"/>
        <s v="E066"/>
        <s v="E067"/>
        <s v="E068"/>
        <s v="E069"/>
        <s v="E070"/>
        <s v="E071"/>
        <s v="E072"/>
        <s v="E073"/>
        <s v="E074"/>
        <s v="E075"/>
        <s v="E076"/>
        <s v="E077"/>
        <s v="E078"/>
        <s v="E079"/>
        <s v="E080"/>
        <s v="E081"/>
        <s v="E082"/>
        <s v="E083"/>
        <s v="E084"/>
        <s v="E085"/>
        <s v="E086"/>
        <s v="E087"/>
        <s v="E088"/>
        <s v="E089"/>
        <s v="E090"/>
        <s v="E091"/>
        <s v="E092"/>
        <s v="E093"/>
        <s v="E094"/>
        <s v="E095"/>
        <s v="E096"/>
        <s v="E097"/>
        <s v="E098"/>
        <s v="E099"/>
        <s v="E100"/>
        <s v="E101"/>
        <s v="E102"/>
        <s v="E103"/>
        <s v="E104"/>
        <s v="E105"/>
        <s v="E106"/>
        <s v="E107"/>
        <s v="E108"/>
        <s v="E109"/>
        <s v="E110"/>
        <s v="E111"/>
        <s v="E112"/>
        <s v="E113"/>
        <s v="E114"/>
        <s v="E115"/>
        <s v="E116"/>
        <s v="E117"/>
        <s v="E118"/>
        <s v="E119"/>
        <s v="E120"/>
        <s v="E121"/>
        <s v="E122"/>
        <s v="E123"/>
        <s v="E124"/>
        <s v="E125"/>
        <s v="E126"/>
        <s v="E127"/>
        <s v="E128"/>
        <s v="E129"/>
        <s v="E130"/>
        <s v="E131"/>
        <s v="E132"/>
        <s v="E133"/>
        <s v="E134"/>
        <s v="E135"/>
        <s v="E136"/>
        <s v="E137"/>
        <s v="E138"/>
        <s v="E139"/>
        <s v="E140"/>
        <s v="E141"/>
        <s v="E142"/>
        <s v="E143"/>
        <s v="E144"/>
        <s v="E145"/>
        <s v="E146"/>
        <s v="E147"/>
        <s v="E148"/>
        <s v="E149"/>
        <s v="E150"/>
      </sharedItems>
    </cacheField>
    <cacheField name="Employee_Name" numFmtId="0">
      <sharedItems count="20">
        <s v="Divya Rani"/>
        <s v="Harika Das"/>
        <s v="Rohit Nair"/>
        <s v="Priya Singh"/>
        <s v="Suresh Kumar"/>
        <s v="Santosh Patil"/>
        <s v="Aditya Menon"/>
        <s v="Meera Joshi"/>
        <s v="Nisha Gupta"/>
        <s v="Pavan Raj"/>
        <s v="Arjun Reddy"/>
        <s v="Kiran Kumar"/>
        <s v="Ayesha Khan"/>
        <s v="Ravi Teja"/>
        <s v="Kavya Patel"/>
        <s v="Rahul Sharma"/>
        <s v="Sneha Kapoor"/>
        <s v="Chandana"/>
        <s v="Lakshmi Devi"/>
        <s v="Vikram Jain"/>
      </sharedItems>
    </cacheField>
    <cacheField name="Department" numFmtId="0">
      <sharedItems count="6">
        <s v="Finance"/>
        <s v="Sales"/>
        <s v="Marketing"/>
        <s v="Engineering"/>
        <s v="HR"/>
        <s v="Operations"/>
      </sharedItems>
    </cacheField>
    <cacheField name="Training_ID" numFmtId="0">
      <sharedItems/>
    </cacheField>
    <cacheField name="Training_Name" numFmtId="0">
      <sharedItems count="6">
        <s v="Excel Basics"/>
        <s v="Communication Skills"/>
        <s v="Email Etiquette"/>
        <s v="Leadership 101"/>
        <s v="PowerPoint Essentials"/>
        <s v="Time Management"/>
      </sharedItems>
    </cacheField>
    <cacheField name="Enrollment_Date" numFmtId="0">
      <sharedItems/>
    </cacheField>
    <cacheField name="Completion_Date" numFmtId="0">
      <sharedItems containsBlank="1"/>
    </cacheField>
    <cacheField name="Completion_Status" numFmtId="0">
      <sharedItems count="3">
        <s v="Completed"/>
        <s v="In Progress"/>
        <s v="Not Started"/>
      </sharedItems>
    </cacheField>
    <cacheField name="Score" numFmtId="0">
      <sharedItems containsString="0" containsBlank="1" containsNumber="1" containsInteger="1" minValue="70" maxValue="95"/>
    </cacheField>
    <cacheField name="Mode" numFmtId="0">
      <sharedItems/>
    </cacheField>
    <cacheField name="Manager" numFmtId="0">
      <sharedItems/>
    </cacheField>
    <cacheField name="Remarks" numFmtId="0">
      <sharedItems/>
    </cacheField>
    <cacheField name="Days_To_Complete" numFmtId="0">
      <sharedItems containsMixedTypes="1" containsNumber="1" containsInteger="1" minValue="3" maxValue="12"/>
    </cacheField>
    <cacheField name="Is_Overdu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s v="T001"/>
    <x v="0"/>
    <s v="2025-01-17"/>
    <s v="2025-01-20"/>
    <x v="0"/>
    <n v="94"/>
    <s v="Self-paced"/>
    <s v="Shreya Iyer"/>
    <s v="-"/>
    <n v="3"/>
    <x v="0"/>
  </r>
  <r>
    <x v="1"/>
    <x v="1"/>
    <x v="1"/>
    <s v="T005"/>
    <x v="1"/>
    <s v="2025-01-18"/>
    <m/>
    <x v="1"/>
    <m/>
    <s v="Self-paced"/>
    <s v="Anita Rao"/>
    <s v="Needs follow-up"/>
    <s v=""/>
    <x v="1"/>
  </r>
  <r>
    <x v="2"/>
    <x v="2"/>
    <x v="0"/>
    <s v="T002"/>
    <x v="2"/>
    <s v="2025-01-03"/>
    <m/>
    <x v="2"/>
    <m/>
    <s v="Instructor-led"/>
    <s v="Ajay Patel"/>
    <s v="-"/>
    <s v=""/>
    <x v="1"/>
  </r>
  <r>
    <x v="3"/>
    <x v="3"/>
    <x v="2"/>
    <s v="T001"/>
    <x v="0"/>
    <s v="2025-01-16"/>
    <m/>
    <x v="2"/>
    <m/>
    <s v="Self-paced"/>
    <s v="Anita Rao"/>
    <s v="-"/>
    <s v=""/>
    <x v="1"/>
  </r>
  <r>
    <x v="4"/>
    <x v="1"/>
    <x v="3"/>
    <s v="T001"/>
    <x v="0"/>
    <s v="2025-01-09"/>
    <m/>
    <x v="1"/>
    <m/>
    <s v="Virtual"/>
    <s v="Anita Rao"/>
    <s v="Needs follow-up"/>
    <s v=""/>
    <x v="1"/>
  </r>
  <r>
    <x v="5"/>
    <x v="4"/>
    <x v="0"/>
    <s v="T006"/>
    <x v="3"/>
    <s v="2025-01-21"/>
    <s v="2025-01-26"/>
    <x v="0"/>
    <n v="87"/>
    <s v="Virtual"/>
    <s v="Ajay Patel"/>
    <s v="-"/>
    <n v="5"/>
    <x v="0"/>
  </r>
  <r>
    <x v="6"/>
    <x v="5"/>
    <x v="4"/>
    <s v="T002"/>
    <x v="2"/>
    <s v="2025-01-06"/>
    <s v="2025-01-09"/>
    <x v="0"/>
    <n v="91"/>
    <s v="Virtual"/>
    <s v="Kiran Rao"/>
    <s v="-"/>
    <n v="3"/>
    <x v="0"/>
  </r>
  <r>
    <x v="7"/>
    <x v="1"/>
    <x v="5"/>
    <s v="T003"/>
    <x v="4"/>
    <s v="2025-01-12"/>
    <m/>
    <x v="2"/>
    <m/>
    <s v="Instructor-led"/>
    <s v="Kiran Rao"/>
    <s v="-"/>
    <s v=""/>
    <x v="1"/>
  </r>
  <r>
    <x v="8"/>
    <x v="6"/>
    <x v="2"/>
    <s v="T001"/>
    <x v="0"/>
    <s v="2025-01-06"/>
    <s v="2025-01-15"/>
    <x v="0"/>
    <n v="78"/>
    <s v="Virtual"/>
    <s v="Manish Varma"/>
    <s v="-"/>
    <n v="9"/>
    <x v="0"/>
  </r>
  <r>
    <x v="9"/>
    <x v="7"/>
    <x v="0"/>
    <s v="T002"/>
    <x v="2"/>
    <s v="2025-01-02"/>
    <s v="2025-01-14"/>
    <x v="0"/>
    <n v="72"/>
    <s v="Virtual"/>
    <s v="Manish Varma"/>
    <s v="-"/>
    <n v="12"/>
    <x v="0"/>
  </r>
  <r>
    <x v="10"/>
    <x v="8"/>
    <x v="4"/>
    <s v="T003"/>
    <x v="4"/>
    <s v="2025-01-16"/>
    <m/>
    <x v="1"/>
    <m/>
    <s v="Self-paced"/>
    <s v="Manish Varma"/>
    <s v="Needs follow-up"/>
    <s v=""/>
    <x v="1"/>
  </r>
  <r>
    <x v="11"/>
    <x v="9"/>
    <x v="5"/>
    <s v="T006"/>
    <x v="3"/>
    <s v="2025-01-02"/>
    <s v="2025-01-12"/>
    <x v="0"/>
    <n v="88"/>
    <s v="Self-paced"/>
    <s v="Shreya Iyer"/>
    <s v="-"/>
    <n v="10"/>
    <x v="0"/>
  </r>
  <r>
    <x v="12"/>
    <x v="3"/>
    <x v="2"/>
    <s v="T002"/>
    <x v="2"/>
    <s v="2025-01-03"/>
    <s v="2025-01-10"/>
    <x v="0"/>
    <n v="84"/>
    <s v="Virtual"/>
    <s v="Anita Rao"/>
    <s v="-"/>
    <n v="7"/>
    <x v="0"/>
  </r>
  <r>
    <x v="13"/>
    <x v="0"/>
    <x v="1"/>
    <s v="T001"/>
    <x v="0"/>
    <s v="2025-01-16"/>
    <s v="2025-01-22"/>
    <x v="0"/>
    <n v="86"/>
    <s v="Instructor-led"/>
    <s v="Shreya Iyer"/>
    <s v="-"/>
    <n v="6"/>
    <x v="0"/>
  </r>
  <r>
    <x v="14"/>
    <x v="10"/>
    <x v="3"/>
    <s v="T002"/>
    <x v="2"/>
    <s v="2025-01-08"/>
    <m/>
    <x v="1"/>
    <m/>
    <s v="Virtual"/>
    <s v="Manish Varma"/>
    <s v="Needs follow-up"/>
    <s v=""/>
    <x v="1"/>
  </r>
  <r>
    <x v="15"/>
    <x v="11"/>
    <x v="1"/>
    <s v="T005"/>
    <x v="1"/>
    <s v="2025-01-12"/>
    <s v="2025-01-23"/>
    <x v="0"/>
    <n v="81"/>
    <s v="Virtual"/>
    <s v="Ajay Patel"/>
    <s v="-"/>
    <n v="11"/>
    <x v="0"/>
  </r>
  <r>
    <x v="16"/>
    <x v="0"/>
    <x v="2"/>
    <s v="T001"/>
    <x v="0"/>
    <s v="2025-01-09"/>
    <m/>
    <x v="2"/>
    <m/>
    <s v="Self-paced"/>
    <s v="Kiran Rao"/>
    <s v="-"/>
    <s v=""/>
    <x v="1"/>
  </r>
  <r>
    <x v="17"/>
    <x v="7"/>
    <x v="1"/>
    <s v="T004"/>
    <x v="5"/>
    <s v="2025-01-18"/>
    <s v="2025-01-26"/>
    <x v="0"/>
    <n v="87"/>
    <s v="Instructor-led"/>
    <s v="Manish Varma"/>
    <s v="-"/>
    <n v="8"/>
    <x v="0"/>
  </r>
  <r>
    <x v="18"/>
    <x v="11"/>
    <x v="0"/>
    <s v="T004"/>
    <x v="5"/>
    <s v="2025-01-20"/>
    <s v="2025-01-29"/>
    <x v="0"/>
    <n v="88"/>
    <s v="Self-paced"/>
    <s v="Kiran Rao"/>
    <s v="-"/>
    <n v="9"/>
    <x v="0"/>
  </r>
  <r>
    <x v="19"/>
    <x v="3"/>
    <x v="0"/>
    <s v="T006"/>
    <x v="3"/>
    <s v="2025-01-20"/>
    <m/>
    <x v="2"/>
    <m/>
    <s v="Virtual"/>
    <s v="Anita Rao"/>
    <s v="-"/>
    <s v=""/>
    <x v="1"/>
  </r>
  <r>
    <x v="20"/>
    <x v="12"/>
    <x v="1"/>
    <s v="T006"/>
    <x v="3"/>
    <s v="2025-01-03"/>
    <s v="2025-01-11"/>
    <x v="0"/>
    <n v="86"/>
    <s v="Self-paced"/>
    <s v="Ajay Patel"/>
    <s v="-"/>
    <n v="8"/>
    <x v="0"/>
  </r>
  <r>
    <x v="21"/>
    <x v="6"/>
    <x v="3"/>
    <s v="T003"/>
    <x v="4"/>
    <s v="2025-01-22"/>
    <m/>
    <x v="1"/>
    <m/>
    <s v="Virtual"/>
    <s v="Shreya Iyer"/>
    <s v="Needs follow-up"/>
    <s v=""/>
    <x v="1"/>
  </r>
  <r>
    <x v="22"/>
    <x v="7"/>
    <x v="2"/>
    <s v="T004"/>
    <x v="5"/>
    <s v="2025-01-10"/>
    <m/>
    <x v="2"/>
    <m/>
    <s v="Instructor-led"/>
    <s v="Ajay Patel"/>
    <s v="-"/>
    <s v=""/>
    <x v="1"/>
  </r>
  <r>
    <x v="23"/>
    <x v="13"/>
    <x v="5"/>
    <s v="T006"/>
    <x v="3"/>
    <s v="2025-01-24"/>
    <s v="2025-02-05"/>
    <x v="0"/>
    <n v="87"/>
    <s v="Virtual"/>
    <s v="Ajay Patel"/>
    <s v="-"/>
    <n v="12"/>
    <x v="0"/>
  </r>
  <r>
    <x v="24"/>
    <x v="5"/>
    <x v="5"/>
    <s v="T002"/>
    <x v="2"/>
    <s v="2025-01-17"/>
    <m/>
    <x v="2"/>
    <m/>
    <s v="Virtual"/>
    <s v="Anita Rao"/>
    <s v="-"/>
    <s v=""/>
    <x v="1"/>
  </r>
  <r>
    <x v="25"/>
    <x v="11"/>
    <x v="4"/>
    <s v="T004"/>
    <x v="5"/>
    <s v="2025-01-19"/>
    <m/>
    <x v="1"/>
    <m/>
    <s v="Instructor-led"/>
    <s v="Shreya Iyer"/>
    <s v="Needs follow-up"/>
    <s v=""/>
    <x v="1"/>
  </r>
  <r>
    <x v="26"/>
    <x v="12"/>
    <x v="5"/>
    <s v="T002"/>
    <x v="2"/>
    <s v="2025-01-02"/>
    <m/>
    <x v="2"/>
    <m/>
    <s v="Instructor-led"/>
    <s v="Shreya Iyer"/>
    <s v="-"/>
    <s v=""/>
    <x v="1"/>
  </r>
  <r>
    <x v="27"/>
    <x v="12"/>
    <x v="1"/>
    <s v="T006"/>
    <x v="3"/>
    <s v="2025-01-25"/>
    <m/>
    <x v="2"/>
    <m/>
    <s v="Self-paced"/>
    <s v="Kiran Rao"/>
    <s v="-"/>
    <s v=""/>
    <x v="1"/>
  </r>
  <r>
    <x v="28"/>
    <x v="6"/>
    <x v="4"/>
    <s v="T002"/>
    <x v="2"/>
    <s v="2025-01-24"/>
    <m/>
    <x v="2"/>
    <m/>
    <s v="Virtual"/>
    <s v="Anita Rao"/>
    <s v="-"/>
    <s v=""/>
    <x v="1"/>
  </r>
  <r>
    <x v="29"/>
    <x v="11"/>
    <x v="4"/>
    <s v="T001"/>
    <x v="0"/>
    <s v="2025-01-21"/>
    <m/>
    <x v="1"/>
    <m/>
    <s v="Instructor-led"/>
    <s v="Shreya Iyer"/>
    <s v="Needs follow-up"/>
    <s v=""/>
    <x v="1"/>
  </r>
  <r>
    <x v="30"/>
    <x v="2"/>
    <x v="4"/>
    <s v="T001"/>
    <x v="0"/>
    <s v="2025-01-04"/>
    <m/>
    <x v="2"/>
    <m/>
    <s v="Instructor-led"/>
    <s v="Shreya Iyer"/>
    <s v="-"/>
    <s v=""/>
    <x v="1"/>
  </r>
  <r>
    <x v="31"/>
    <x v="9"/>
    <x v="1"/>
    <s v="T003"/>
    <x v="4"/>
    <s v="2025-01-18"/>
    <m/>
    <x v="1"/>
    <m/>
    <s v="Virtual"/>
    <s v="Manish Varma"/>
    <s v="Needs follow-up"/>
    <s v=""/>
    <x v="1"/>
  </r>
  <r>
    <x v="32"/>
    <x v="14"/>
    <x v="2"/>
    <s v="T002"/>
    <x v="2"/>
    <s v="2025-01-21"/>
    <m/>
    <x v="2"/>
    <m/>
    <s v="Instructor-led"/>
    <s v="Ajay Patel"/>
    <s v="-"/>
    <s v=""/>
    <x v="1"/>
  </r>
  <r>
    <x v="33"/>
    <x v="13"/>
    <x v="5"/>
    <s v="T006"/>
    <x v="3"/>
    <s v="2025-01-10"/>
    <m/>
    <x v="1"/>
    <m/>
    <s v="Instructor-led"/>
    <s v="Shreya Iyer"/>
    <s v="Needs follow-up"/>
    <s v=""/>
    <x v="1"/>
  </r>
  <r>
    <x v="34"/>
    <x v="2"/>
    <x v="0"/>
    <s v="T001"/>
    <x v="0"/>
    <s v="2025-01-21"/>
    <m/>
    <x v="2"/>
    <m/>
    <s v="Instructor-led"/>
    <s v="Manish Varma"/>
    <s v="-"/>
    <s v=""/>
    <x v="1"/>
  </r>
  <r>
    <x v="35"/>
    <x v="15"/>
    <x v="3"/>
    <s v="T003"/>
    <x v="4"/>
    <s v="2025-01-11"/>
    <m/>
    <x v="1"/>
    <m/>
    <s v="Instructor-led"/>
    <s v="Ajay Patel"/>
    <s v="Needs follow-up"/>
    <s v=""/>
    <x v="1"/>
  </r>
  <r>
    <x v="36"/>
    <x v="2"/>
    <x v="2"/>
    <s v="T003"/>
    <x v="4"/>
    <s v="2025-01-10"/>
    <m/>
    <x v="2"/>
    <m/>
    <s v="Virtual"/>
    <s v="Manish Varma"/>
    <s v="-"/>
    <s v=""/>
    <x v="1"/>
  </r>
  <r>
    <x v="37"/>
    <x v="1"/>
    <x v="2"/>
    <s v="T002"/>
    <x v="2"/>
    <s v="2025-01-17"/>
    <m/>
    <x v="1"/>
    <m/>
    <s v="Self-paced"/>
    <s v="Anita Rao"/>
    <s v="Needs follow-up"/>
    <s v=""/>
    <x v="1"/>
  </r>
  <r>
    <x v="38"/>
    <x v="5"/>
    <x v="2"/>
    <s v="T003"/>
    <x v="4"/>
    <s v="2025-01-13"/>
    <m/>
    <x v="2"/>
    <m/>
    <s v="Instructor-led"/>
    <s v="Anita Rao"/>
    <s v="-"/>
    <s v=""/>
    <x v="1"/>
  </r>
  <r>
    <x v="39"/>
    <x v="9"/>
    <x v="3"/>
    <s v="T006"/>
    <x v="3"/>
    <s v="2025-01-23"/>
    <s v="2025-01-28"/>
    <x v="0"/>
    <n v="74"/>
    <s v="Self-paced"/>
    <s v="Kiran Rao"/>
    <s v="-"/>
    <n v="5"/>
    <x v="0"/>
  </r>
  <r>
    <x v="40"/>
    <x v="6"/>
    <x v="5"/>
    <s v="T005"/>
    <x v="1"/>
    <s v="2025-01-19"/>
    <m/>
    <x v="2"/>
    <m/>
    <s v="Self-paced"/>
    <s v="Manish Varma"/>
    <s v="-"/>
    <s v=""/>
    <x v="1"/>
  </r>
  <r>
    <x v="41"/>
    <x v="6"/>
    <x v="5"/>
    <s v="T005"/>
    <x v="1"/>
    <s v="2025-01-24"/>
    <s v="2025-02-05"/>
    <x v="0"/>
    <n v="88"/>
    <s v="Virtual"/>
    <s v="Kiran Rao"/>
    <s v="-"/>
    <n v="12"/>
    <x v="0"/>
  </r>
  <r>
    <x v="42"/>
    <x v="10"/>
    <x v="0"/>
    <s v="T002"/>
    <x v="2"/>
    <s v="2025-01-19"/>
    <s v="2025-01-27"/>
    <x v="0"/>
    <n v="70"/>
    <s v="Self-paced"/>
    <s v="Anita Rao"/>
    <s v="-"/>
    <n v="8"/>
    <x v="0"/>
  </r>
  <r>
    <x v="43"/>
    <x v="3"/>
    <x v="2"/>
    <s v="T006"/>
    <x v="3"/>
    <s v="2025-01-15"/>
    <s v="2025-01-26"/>
    <x v="0"/>
    <n v="87"/>
    <s v="Instructor-led"/>
    <s v="Manish Varma"/>
    <s v="-"/>
    <n v="11"/>
    <x v="0"/>
  </r>
  <r>
    <x v="44"/>
    <x v="13"/>
    <x v="0"/>
    <s v="T004"/>
    <x v="5"/>
    <s v="2025-01-24"/>
    <m/>
    <x v="2"/>
    <m/>
    <s v="Virtual"/>
    <s v="Kiran Rao"/>
    <s v="-"/>
    <s v=""/>
    <x v="1"/>
  </r>
  <r>
    <x v="45"/>
    <x v="0"/>
    <x v="4"/>
    <s v="T004"/>
    <x v="5"/>
    <s v="2025-01-23"/>
    <s v="2025-01-26"/>
    <x v="0"/>
    <n v="87"/>
    <s v="Self-paced"/>
    <s v="Ajay Patel"/>
    <s v="-"/>
    <n v="3"/>
    <x v="0"/>
  </r>
  <r>
    <x v="46"/>
    <x v="13"/>
    <x v="5"/>
    <s v="T003"/>
    <x v="4"/>
    <s v="2025-01-07"/>
    <m/>
    <x v="1"/>
    <m/>
    <s v="Virtual"/>
    <s v="Shreya Iyer"/>
    <s v="Needs follow-up"/>
    <s v=""/>
    <x v="1"/>
  </r>
  <r>
    <x v="47"/>
    <x v="16"/>
    <x v="3"/>
    <s v="T006"/>
    <x v="3"/>
    <s v="2025-01-19"/>
    <s v="2025-01-29"/>
    <x v="0"/>
    <n v="83"/>
    <s v="Virtual"/>
    <s v="Shreya Iyer"/>
    <s v="-"/>
    <n v="10"/>
    <x v="0"/>
  </r>
  <r>
    <x v="48"/>
    <x v="10"/>
    <x v="5"/>
    <s v="T006"/>
    <x v="3"/>
    <s v="2025-01-02"/>
    <m/>
    <x v="2"/>
    <m/>
    <s v="Instructor-led"/>
    <s v="Manish Varma"/>
    <s v="-"/>
    <s v=""/>
    <x v="1"/>
  </r>
  <r>
    <x v="49"/>
    <x v="7"/>
    <x v="4"/>
    <s v="T004"/>
    <x v="5"/>
    <s v="2025-01-03"/>
    <s v="2025-01-11"/>
    <x v="0"/>
    <n v="84"/>
    <s v="Virtual"/>
    <s v="Anita Rao"/>
    <s v="-"/>
    <n v="8"/>
    <x v="0"/>
  </r>
  <r>
    <x v="50"/>
    <x v="12"/>
    <x v="5"/>
    <s v="T006"/>
    <x v="3"/>
    <s v="2025-01-04"/>
    <m/>
    <x v="2"/>
    <m/>
    <s v="Virtual"/>
    <s v="Kiran Rao"/>
    <s v="-"/>
    <s v=""/>
    <x v="1"/>
  </r>
  <r>
    <x v="51"/>
    <x v="17"/>
    <x v="2"/>
    <s v="T005"/>
    <x v="1"/>
    <s v="2025-01-06"/>
    <m/>
    <x v="1"/>
    <m/>
    <s v="Self-paced"/>
    <s v="Manish Varma"/>
    <s v="Needs follow-up"/>
    <s v=""/>
    <x v="1"/>
  </r>
  <r>
    <x v="52"/>
    <x v="5"/>
    <x v="5"/>
    <s v="T005"/>
    <x v="1"/>
    <s v="2025-01-17"/>
    <m/>
    <x v="1"/>
    <m/>
    <s v="Virtual"/>
    <s v="Kiran Rao"/>
    <s v="Needs follow-up"/>
    <s v=""/>
    <x v="1"/>
  </r>
  <r>
    <x v="53"/>
    <x v="4"/>
    <x v="0"/>
    <s v="T003"/>
    <x v="4"/>
    <s v="2025-01-20"/>
    <s v="2025-01-31"/>
    <x v="0"/>
    <n v="91"/>
    <s v="Instructor-led"/>
    <s v="Shreya Iyer"/>
    <s v="-"/>
    <n v="11"/>
    <x v="0"/>
  </r>
  <r>
    <x v="54"/>
    <x v="17"/>
    <x v="4"/>
    <s v="T003"/>
    <x v="4"/>
    <s v="2025-01-04"/>
    <m/>
    <x v="2"/>
    <m/>
    <s v="Virtual"/>
    <s v="Kiran Rao"/>
    <s v="-"/>
    <s v=""/>
    <x v="1"/>
  </r>
  <r>
    <x v="55"/>
    <x v="15"/>
    <x v="1"/>
    <s v="T002"/>
    <x v="2"/>
    <s v="2025-01-07"/>
    <m/>
    <x v="2"/>
    <m/>
    <s v="Self-paced"/>
    <s v="Manish Varma"/>
    <s v="-"/>
    <s v=""/>
    <x v="1"/>
  </r>
  <r>
    <x v="56"/>
    <x v="4"/>
    <x v="2"/>
    <s v="T002"/>
    <x v="2"/>
    <s v="2025-01-13"/>
    <m/>
    <x v="2"/>
    <m/>
    <s v="Instructor-led"/>
    <s v="Shreya Iyer"/>
    <s v="-"/>
    <s v=""/>
    <x v="1"/>
  </r>
  <r>
    <x v="57"/>
    <x v="12"/>
    <x v="2"/>
    <s v="T004"/>
    <x v="5"/>
    <s v="2025-01-14"/>
    <s v="2025-01-20"/>
    <x v="0"/>
    <n v="74"/>
    <s v="Virtual"/>
    <s v="Anita Rao"/>
    <s v="-"/>
    <n v="6"/>
    <x v="0"/>
  </r>
  <r>
    <x v="58"/>
    <x v="17"/>
    <x v="3"/>
    <s v="T001"/>
    <x v="0"/>
    <s v="2025-01-07"/>
    <s v="2025-01-18"/>
    <x v="0"/>
    <n v="86"/>
    <s v="Self-paced"/>
    <s v="Kiran Rao"/>
    <s v="-"/>
    <n v="11"/>
    <x v="0"/>
  </r>
  <r>
    <x v="59"/>
    <x v="0"/>
    <x v="0"/>
    <s v="T002"/>
    <x v="2"/>
    <s v="2025-01-21"/>
    <s v="2025-01-25"/>
    <x v="0"/>
    <n v="81"/>
    <s v="Self-paced"/>
    <s v="Ajay Patel"/>
    <s v="-"/>
    <n v="4"/>
    <x v="0"/>
  </r>
  <r>
    <x v="60"/>
    <x v="0"/>
    <x v="1"/>
    <s v="T004"/>
    <x v="5"/>
    <s v="2025-01-25"/>
    <m/>
    <x v="1"/>
    <m/>
    <s v="Self-paced"/>
    <s v="Kiran Rao"/>
    <s v="Needs follow-up"/>
    <s v=""/>
    <x v="1"/>
  </r>
  <r>
    <x v="61"/>
    <x v="17"/>
    <x v="2"/>
    <s v="T002"/>
    <x v="2"/>
    <s v="2025-01-21"/>
    <m/>
    <x v="1"/>
    <m/>
    <s v="Self-paced"/>
    <s v="Ajay Patel"/>
    <s v="Needs follow-up"/>
    <s v=""/>
    <x v="1"/>
  </r>
  <r>
    <x v="62"/>
    <x v="17"/>
    <x v="3"/>
    <s v="T002"/>
    <x v="2"/>
    <s v="2025-01-12"/>
    <m/>
    <x v="1"/>
    <m/>
    <s v="Instructor-led"/>
    <s v="Ajay Patel"/>
    <s v="Needs follow-up"/>
    <s v=""/>
    <x v="1"/>
  </r>
  <r>
    <x v="63"/>
    <x v="3"/>
    <x v="5"/>
    <s v="T005"/>
    <x v="1"/>
    <s v="2025-01-17"/>
    <m/>
    <x v="1"/>
    <m/>
    <s v="Self-paced"/>
    <s v="Kiran Rao"/>
    <s v="Needs follow-up"/>
    <s v=""/>
    <x v="1"/>
  </r>
  <r>
    <x v="64"/>
    <x v="7"/>
    <x v="1"/>
    <s v="T002"/>
    <x v="2"/>
    <s v="2025-01-04"/>
    <s v="2025-01-08"/>
    <x v="0"/>
    <n v="79"/>
    <s v="Virtual"/>
    <s v="Shreya Iyer"/>
    <s v="-"/>
    <n v="4"/>
    <x v="0"/>
  </r>
  <r>
    <x v="65"/>
    <x v="8"/>
    <x v="0"/>
    <s v="T001"/>
    <x v="0"/>
    <s v="2025-01-17"/>
    <m/>
    <x v="2"/>
    <m/>
    <s v="Virtual"/>
    <s v="Shreya Iyer"/>
    <s v="-"/>
    <s v=""/>
    <x v="1"/>
  </r>
  <r>
    <x v="66"/>
    <x v="16"/>
    <x v="4"/>
    <s v="T001"/>
    <x v="0"/>
    <s v="2025-01-23"/>
    <s v="2025-01-26"/>
    <x v="0"/>
    <n v="80"/>
    <s v="Self-paced"/>
    <s v="Kiran Rao"/>
    <s v="-"/>
    <n v="3"/>
    <x v="0"/>
  </r>
  <r>
    <x v="67"/>
    <x v="11"/>
    <x v="2"/>
    <s v="T004"/>
    <x v="5"/>
    <s v="2025-01-23"/>
    <m/>
    <x v="1"/>
    <m/>
    <s v="Instructor-led"/>
    <s v="Shreya Iyer"/>
    <s v="Needs follow-up"/>
    <s v=""/>
    <x v="1"/>
  </r>
  <r>
    <x v="68"/>
    <x v="8"/>
    <x v="2"/>
    <s v="T001"/>
    <x v="0"/>
    <s v="2025-01-18"/>
    <m/>
    <x v="2"/>
    <m/>
    <s v="Instructor-led"/>
    <s v="Shreya Iyer"/>
    <s v="-"/>
    <s v=""/>
    <x v="1"/>
  </r>
  <r>
    <x v="69"/>
    <x v="15"/>
    <x v="4"/>
    <s v="T004"/>
    <x v="5"/>
    <s v="2025-01-23"/>
    <m/>
    <x v="1"/>
    <m/>
    <s v="Virtual"/>
    <s v="Ajay Patel"/>
    <s v="Needs follow-up"/>
    <s v=""/>
    <x v="1"/>
  </r>
  <r>
    <x v="70"/>
    <x v="7"/>
    <x v="2"/>
    <s v="T005"/>
    <x v="1"/>
    <s v="2025-01-23"/>
    <s v="2025-02-04"/>
    <x v="0"/>
    <n v="94"/>
    <s v="Virtual"/>
    <s v="Shreya Iyer"/>
    <s v="-"/>
    <n v="12"/>
    <x v="0"/>
  </r>
  <r>
    <x v="71"/>
    <x v="18"/>
    <x v="0"/>
    <s v="T002"/>
    <x v="2"/>
    <s v="2025-01-12"/>
    <m/>
    <x v="2"/>
    <m/>
    <s v="Self-paced"/>
    <s v="Anita Rao"/>
    <s v="-"/>
    <s v=""/>
    <x v="1"/>
  </r>
  <r>
    <x v="72"/>
    <x v="19"/>
    <x v="4"/>
    <s v="T004"/>
    <x v="5"/>
    <s v="2025-01-15"/>
    <m/>
    <x v="1"/>
    <m/>
    <s v="Self-paced"/>
    <s v="Ajay Patel"/>
    <s v="Needs follow-up"/>
    <s v=""/>
    <x v="1"/>
  </r>
  <r>
    <x v="73"/>
    <x v="8"/>
    <x v="3"/>
    <s v="T003"/>
    <x v="4"/>
    <s v="2025-01-01"/>
    <s v="2025-01-04"/>
    <x v="0"/>
    <n v="85"/>
    <s v="Virtual"/>
    <s v="Manish Varma"/>
    <s v="-"/>
    <n v="3"/>
    <x v="0"/>
  </r>
  <r>
    <x v="74"/>
    <x v="14"/>
    <x v="3"/>
    <s v="T005"/>
    <x v="1"/>
    <s v="2025-01-10"/>
    <m/>
    <x v="2"/>
    <m/>
    <s v="Instructor-led"/>
    <s v="Ajay Patel"/>
    <s v="-"/>
    <s v=""/>
    <x v="1"/>
  </r>
  <r>
    <x v="75"/>
    <x v="6"/>
    <x v="4"/>
    <s v="T004"/>
    <x v="5"/>
    <s v="2025-01-04"/>
    <m/>
    <x v="2"/>
    <m/>
    <s v="Self-paced"/>
    <s v="Anita Rao"/>
    <s v="-"/>
    <s v=""/>
    <x v="1"/>
  </r>
  <r>
    <x v="76"/>
    <x v="3"/>
    <x v="4"/>
    <s v="T002"/>
    <x v="2"/>
    <s v="2025-01-22"/>
    <s v="2025-01-31"/>
    <x v="0"/>
    <n v="81"/>
    <s v="Virtual"/>
    <s v="Manish Varma"/>
    <s v="-"/>
    <n v="9"/>
    <x v="0"/>
  </r>
  <r>
    <x v="77"/>
    <x v="1"/>
    <x v="1"/>
    <s v="T001"/>
    <x v="0"/>
    <s v="2025-01-17"/>
    <m/>
    <x v="1"/>
    <m/>
    <s v="Instructor-led"/>
    <s v="Shreya Iyer"/>
    <s v="Needs follow-up"/>
    <s v=""/>
    <x v="1"/>
  </r>
  <r>
    <x v="78"/>
    <x v="0"/>
    <x v="3"/>
    <s v="T006"/>
    <x v="3"/>
    <s v="2025-01-19"/>
    <m/>
    <x v="1"/>
    <m/>
    <s v="Virtual"/>
    <s v="Ajay Patel"/>
    <s v="Needs follow-up"/>
    <s v=""/>
    <x v="1"/>
  </r>
  <r>
    <x v="79"/>
    <x v="19"/>
    <x v="1"/>
    <s v="T003"/>
    <x v="4"/>
    <s v="2025-01-21"/>
    <m/>
    <x v="2"/>
    <m/>
    <s v="Self-paced"/>
    <s v="Shreya Iyer"/>
    <s v="-"/>
    <s v=""/>
    <x v="1"/>
  </r>
  <r>
    <x v="80"/>
    <x v="14"/>
    <x v="5"/>
    <s v="T006"/>
    <x v="3"/>
    <s v="2025-01-26"/>
    <m/>
    <x v="2"/>
    <m/>
    <s v="Instructor-led"/>
    <s v="Shreya Iyer"/>
    <s v="-"/>
    <s v=""/>
    <x v="1"/>
  </r>
  <r>
    <x v="81"/>
    <x v="15"/>
    <x v="5"/>
    <s v="T003"/>
    <x v="4"/>
    <s v="2025-01-04"/>
    <s v="2025-01-13"/>
    <x v="0"/>
    <n v="85"/>
    <s v="Instructor-led"/>
    <s v="Anita Rao"/>
    <s v="-"/>
    <n v="9"/>
    <x v="0"/>
  </r>
  <r>
    <x v="82"/>
    <x v="14"/>
    <x v="2"/>
    <s v="T006"/>
    <x v="3"/>
    <s v="2025-01-15"/>
    <m/>
    <x v="2"/>
    <m/>
    <s v="Instructor-led"/>
    <s v="Shreya Iyer"/>
    <s v="-"/>
    <s v=""/>
    <x v="1"/>
  </r>
  <r>
    <x v="83"/>
    <x v="1"/>
    <x v="0"/>
    <s v="T001"/>
    <x v="0"/>
    <s v="2025-01-04"/>
    <s v="2025-01-10"/>
    <x v="0"/>
    <n v="91"/>
    <s v="Virtual"/>
    <s v="Anita Rao"/>
    <s v="-"/>
    <n v="6"/>
    <x v="0"/>
  </r>
  <r>
    <x v="84"/>
    <x v="18"/>
    <x v="1"/>
    <s v="T002"/>
    <x v="2"/>
    <s v="2025-01-19"/>
    <m/>
    <x v="1"/>
    <m/>
    <s v="Instructor-led"/>
    <s v="Manish Varma"/>
    <s v="Needs follow-up"/>
    <s v=""/>
    <x v="1"/>
  </r>
  <r>
    <x v="85"/>
    <x v="18"/>
    <x v="2"/>
    <s v="T006"/>
    <x v="3"/>
    <s v="2025-01-06"/>
    <s v="2025-01-16"/>
    <x v="0"/>
    <n v="82"/>
    <s v="Self-paced"/>
    <s v="Ajay Patel"/>
    <s v="-"/>
    <n v="10"/>
    <x v="0"/>
  </r>
  <r>
    <x v="86"/>
    <x v="17"/>
    <x v="2"/>
    <s v="T004"/>
    <x v="5"/>
    <s v="2025-01-03"/>
    <s v="2025-01-06"/>
    <x v="0"/>
    <n v="86"/>
    <s v="Self-paced"/>
    <s v="Manish Varma"/>
    <s v="-"/>
    <n v="3"/>
    <x v="0"/>
  </r>
  <r>
    <x v="87"/>
    <x v="16"/>
    <x v="4"/>
    <s v="T005"/>
    <x v="1"/>
    <s v="2025-01-10"/>
    <m/>
    <x v="2"/>
    <m/>
    <s v="Self-paced"/>
    <s v="Kiran Rao"/>
    <s v="-"/>
    <s v=""/>
    <x v="1"/>
  </r>
  <r>
    <x v="88"/>
    <x v="14"/>
    <x v="0"/>
    <s v="T004"/>
    <x v="5"/>
    <s v="2025-01-17"/>
    <m/>
    <x v="1"/>
    <m/>
    <s v="Self-paced"/>
    <s v="Ajay Patel"/>
    <s v="Needs follow-up"/>
    <s v=""/>
    <x v="1"/>
  </r>
  <r>
    <x v="89"/>
    <x v="11"/>
    <x v="1"/>
    <s v="T006"/>
    <x v="3"/>
    <s v="2025-01-05"/>
    <m/>
    <x v="2"/>
    <m/>
    <s v="Self-paced"/>
    <s v="Manish Varma"/>
    <s v="-"/>
    <s v=""/>
    <x v="1"/>
  </r>
  <r>
    <x v="90"/>
    <x v="11"/>
    <x v="2"/>
    <s v="T006"/>
    <x v="3"/>
    <s v="2025-01-06"/>
    <m/>
    <x v="1"/>
    <m/>
    <s v="Virtual"/>
    <s v="Shreya Iyer"/>
    <s v="Needs follow-up"/>
    <s v=""/>
    <x v="1"/>
  </r>
  <r>
    <x v="91"/>
    <x v="4"/>
    <x v="2"/>
    <s v="T004"/>
    <x v="5"/>
    <s v="2025-01-03"/>
    <s v="2025-01-06"/>
    <x v="0"/>
    <n v="92"/>
    <s v="Virtual"/>
    <s v="Kiran Rao"/>
    <s v="-"/>
    <n v="3"/>
    <x v="0"/>
  </r>
  <r>
    <x v="92"/>
    <x v="12"/>
    <x v="0"/>
    <s v="T006"/>
    <x v="3"/>
    <s v="2025-01-09"/>
    <m/>
    <x v="2"/>
    <m/>
    <s v="Self-paced"/>
    <s v="Shreya Iyer"/>
    <s v="-"/>
    <s v=""/>
    <x v="1"/>
  </r>
  <r>
    <x v="93"/>
    <x v="10"/>
    <x v="0"/>
    <s v="T004"/>
    <x v="5"/>
    <s v="2025-01-04"/>
    <m/>
    <x v="2"/>
    <m/>
    <s v="Virtual"/>
    <s v="Kiran Rao"/>
    <s v="-"/>
    <s v=""/>
    <x v="1"/>
  </r>
  <r>
    <x v="94"/>
    <x v="11"/>
    <x v="1"/>
    <s v="T001"/>
    <x v="0"/>
    <s v="2025-01-23"/>
    <s v="2025-01-26"/>
    <x v="0"/>
    <n v="82"/>
    <s v="Self-paced"/>
    <s v="Anita Rao"/>
    <s v="-"/>
    <n v="3"/>
    <x v="0"/>
  </r>
  <r>
    <x v="95"/>
    <x v="9"/>
    <x v="4"/>
    <s v="T005"/>
    <x v="1"/>
    <s v="2025-01-23"/>
    <m/>
    <x v="2"/>
    <m/>
    <s v="Virtual"/>
    <s v="Kiran Rao"/>
    <s v="-"/>
    <s v=""/>
    <x v="1"/>
  </r>
  <r>
    <x v="96"/>
    <x v="8"/>
    <x v="5"/>
    <s v="T004"/>
    <x v="5"/>
    <s v="2025-01-02"/>
    <m/>
    <x v="1"/>
    <m/>
    <s v="Instructor-led"/>
    <s v="Manish Varma"/>
    <s v="Needs follow-up"/>
    <s v=""/>
    <x v="1"/>
  </r>
  <r>
    <x v="97"/>
    <x v="0"/>
    <x v="4"/>
    <s v="T002"/>
    <x v="2"/>
    <s v="2025-01-04"/>
    <s v="2025-01-08"/>
    <x v="0"/>
    <n v="84"/>
    <s v="Instructor-led"/>
    <s v="Kiran Rao"/>
    <s v="-"/>
    <n v="4"/>
    <x v="0"/>
  </r>
  <r>
    <x v="98"/>
    <x v="3"/>
    <x v="4"/>
    <s v="T006"/>
    <x v="3"/>
    <s v="2025-01-20"/>
    <s v="2025-01-29"/>
    <x v="0"/>
    <n v="86"/>
    <s v="Virtual"/>
    <s v="Manish Varma"/>
    <s v="-"/>
    <n v="9"/>
    <x v="0"/>
  </r>
  <r>
    <x v="99"/>
    <x v="0"/>
    <x v="4"/>
    <s v="T005"/>
    <x v="1"/>
    <s v="2025-01-07"/>
    <s v="2025-01-15"/>
    <x v="0"/>
    <n v="79"/>
    <s v="Instructor-led"/>
    <s v="Kiran Rao"/>
    <s v="-"/>
    <n v="8"/>
    <x v="0"/>
  </r>
  <r>
    <x v="100"/>
    <x v="5"/>
    <x v="4"/>
    <s v="T003"/>
    <x v="4"/>
    <s v="2025-01-12"/>
    <s v="2025-01-22"/>
    <x v="0"/>
    <n v="86"/>
    <s v="Instructor-led"/>
    <s v="Ajay Patel"/>
    <s v="-"/>
    <n v="10"/>
    <x v="0"/>
  </r>
  <r>
    <x v="101"/>
    <x v="16"/>
    <x v="1"/>
    <s v="T005"/>
    <x v="1"/>
    <s v="2025-01-14"/>
    <s v="2025-01-17"/>
    <x v="0"/>
    <n v="70"/>
    <s v="Virtual"/>
    <s v="Ajay Patel"/>
    <s v="-"/>
    <n v="3"/>
    <x v="0"/>
  </r>
  <r>
    <x v="102"/>
    <x v="3"/>
    <x v="4"/>
    <s v="T004"/>
    <x v="5"/>
    <s v="2025-01-11"/>
    <m/>
    <x v="1"/>
    <m/>
    <s v="Self-paced"/>
    <s v="Manish Varma"/>
    <s v="Needs follow-up"/>
    <s v=""/>
    <x v="1"/>
  </r>
  <r>
    <x v="103"/>
    <x v="10"/>
    <x v="2"/>
    <s v="T003"/>
    <x v="4"/>
    <s v="2025-01-13"/>
    <s v="2025-01-23"/>
    <x v="0"/>
    <n v="87"/>
    <s v="Self-paced"/>
    <s v="Anita Rao"/>
    <s v="-"/>
    <n v="10"/>
    <x v="0"/>
  </r>
  <r>
    <x v="104"/>
    <x v="15"/>
    <x v="5"/>
    <s v="T006"/>
    <x v="3"/>
    <s v="2025-01-06"/>
    <s v="2025-01-10"/>
    <x v="0"/>
    <n v="73"/>
    <s v="Virtual"/>
    <s v="Ajay Patel"/>
    <s v="-"/>
    <n v="4"/>
    <x v="0"/>
  </r>
  <r>
    <x v="105"/>
    <x v="1"/>
    <x v="0"/>
    <s v="T002"/>
    <x v="2"/>
    <s v="2025-01-15"/>
    <m/>
    <x v="2"/>
    <m/>
    <s v="Instructor-led"/>
    <s v="Anita Rao"/>
    <s v="-"/>
    <s v=""/>
    <x v="1"/>
  </r>
  <r>
    <x v="106"/>
    <x v="15"/>
    <x v="1"/>
    <s v="T004"/>
    <x v="5"/>
    <s v="2025-01-19"/>
    <m/>
    <x v="2"/>
    <m/>
    <s v="Instructor-led"/>
    <s v="Kiran Rao"/>
    <s v="-"/>
    <s v=""/>
    <x v="1"/>
  </r>
  <r>
    <x v="107"/>
    <x v="19"/>
    <x v="4"/>
    <s v="T005"/>
    <x v="1"/>
    <s v="2025-01-13"/>
    <m/>
    <x v="2"/>
    <m/>
    <s v="Virtual"/>
    <s v="Kiran Rao"/>
    <s v="-"/>
    <s v=""/>
    <x v="1"/>
  </r>
  <r>
    <x v="108"/>
    <x v="0"/>
    <x v="4"/>
    <s v="T005"/>
    <x v="1"/>
    <s v="2025-01-16"/>
    <m/>
    <x v="2"/>
    <m/>
    <s v="Self-paced"/>
    <s v="Kiran Rao"/>
    <s v="-"/>
    <s v=""/>
    <x v="1"/>
  </r>
  <r>
    <x v="109"/>
    <x v="18"/>
    <x v="5"/>
    <s v="T001"/>
    <x v="0"/>
    <s v="2025-01-11"/>
    <s v="2025-01-18"/>
    <x v="0"/>
    <n v="83"/>
    <s v="Self-paced"/>
    <s v="Manish Varma"/>
    <s v="-"/>
    <n v="7"/>
    <x v="0"/>
  </r>
  <r>
    <x v="110"/>
    <x v="3"/>
    <x v="1"/>
    <s v="T004"/>
    <x v="5"/>
    <s v="2025-01-12"/>
    <m/>
    <x v="2"/>
    <m/>
    <s v="Instructor-led"/>
    <s v="Manish Varma"/>
    <s v="-"/>
    <s v=""/>
    <x v="1"/>
  </r>
  <r>
    <x v="111"/>
    <x v="2"/>
    <x v="0"/>
    <s v="T003"/>
    <x v="4"/>
    <s v="2025-01-25"/>
    <m/>
    <x v="2"/>
    <m/>
    <s v="Virtual"/>
    <s v="Ajay Patel"/>
    <s v="-"/>
    <s v=""/>
    <x v="1"/>
  </r>
  <r>
    <x v="112"/>
    <x v="12"/>
    <x v="3"/>
    <s v="T004"/>
    <x v="5"/>
    <s v="2025-01-24"/>
    <s v="2025-02-05"/>
    <x v="0"/>
    <n v="88"/>
    <s v="Self-paced"/>
    <s v="Ajay Patel"/>
    <s v="-"/>
    <n v="12"/>
    <x v="0"/>
  </r>
  <r>
    <x v="113"/>
    <x v="10"/>
    <x v="5"/>
    <s v="T006"/>
    <x v="3"/>
    <s v="2025-01-13"/>
    <s v="2025-01-16"/>
    <x v="0"/>
    <n v="90"/>
    <s v="Instructor-led"/>
    <s v="Shreya Iyer"/>
    <s v="-"/>
    <n v="3"/>
    <x v="0"/>
  </r>
  <r>
    <x v="114"/>
    <x v="10"/>
    <x v="3"/>
    <s v="T006"/>
    <x v="3"/>
    <s v="2025-01-17"/>
    <s v="2025-01-27"/>
    <x v="0"/>
    <n v="87"/>
    <s v="Virtual"/>
    <s v="Kiran Rao"/>
    <s v="-"/>
    <n v="10"/>
    <x v="0"/>
  </r>
  <r>
    <x v="115"/>
    <x v="2"/>
    <x v="2"/>
    <s v="T004"/>
    <x v="5"/>
    <s v="2025-01-09"/>
    <m/>
    <x v="1"/>
    <m/>
    <s v="Virtual"/>
    <s v="Manish Varma"/>
    <s v="Needs follow-up"/>
    <s v=""/>
    <x v="1"/>
  </r>
  <r>
    <x v="116"/>
    <x v="14"/>
    <x v="1"/>
    <s v="T002"/>
    <x v="2"/>
    <s v="2025-01-05"/>
    <s v="2025-01-12"/>
    <x v="0"/>
    <n v="80"/>
    <s v="Self-paced"/>
    <s v="Manish Varma"/>
    <s v="-"/>
    <n v="7"/>
    <x v="0"/>
  </r>
  <r>
    <x v="117"/>
    <x v="12"/>
    <x v="5"/>
    <s v="T005"/>
    <x v="1"/>
    <s v="2025-01-20"/>
    <m/>
    <x v="2"/>
    <m/>
    <s v="Self-paced"/>
    <s v="Ajay Patel"/>
    <s v="-"/>
    <s v=""/>
    <x v="1"/>
  </r>
  <r>
    <x v="118"/>
    <x v="15"/>
    <x v="5"/>
    <s v="T001"/>
    <x v="0"/>
    <s v="2025-01-20"/>
    <m/>
    <x v="2"/>
    <m/>
    <s v="Self-paced"/>
    <s v="Anita Rao"/>
    <s v="-"/>
    <s v=""/>
    <x v="1"/>
  </r>
  <r>
    <x v="119"/>
    <x v="12"/>
    <x v="0"/>
    <s v="T001"/>
    <x v="0"/>
    <s v="2025-01-17"/>
    <m/>
    <x v="1"/>
    <m/>
    <s v="Self-paced"/>
    <s v="Ajay Patel"/>
    <s v="Needs follow-up"/>
    <s v=""/>
    <x v="1"/>
  </r>
  <r>
    <x v="120"/>
    <x v="10"/>
    <x v="0"/>
    <s v="T006"/>
    <x v="3"/>
    <s v="2025-01-11"/>
    <m/>
    <x v="2"/>
    <m/>
    <s v="Self-paced"/>
    <s v="Ajay Patel"/>
    <s v="-"/>
    <s v=""/>
    <x v="1"/>
  </r>
  <r>
    <x v="121"/>
    <x v="14"/>
    <x v="4"/>
    <s v="T001"/>
    <x v="0"/>
    <s v="2025-01-15"/>
    <m/>
    <x v="2"/>
    <m/>
    <s v="Instructor-led"/>
    <s v="Ajay Patel"/>
    <s v="-"/>
    <s v=""/>
    <x v="1"/>
  </r>
  <r>
    <x v="122"/>
    <x v="5"/>
    <x v="2"/>
    <s v="T003"/>
    <x v="4"/>
    <s v="2025-01-05"/>
    <m/>
    <x v="1"/>
    <m/>
    <s v="Instructor-led"/>
    <s v="Anita Rao"/>
    <s v="Needs follow-up"/>
    <s v=""/>
    <x v="1"/>
  </r>
  <r>
    <x v="123"/>
    <x v="9"/>
    <x v="3"/>
    <s v="T001"/>
    <x v="0"/>
    <s v="2025-01-02"/>
    <s v="2025-01-08"/>
    <x v="0"/>
    <n v="87"/>
    <s v="Self-paced"/>
    <s v="Manish Varma"/>
    <s v="-"/>
    <n v="6"/>
    <x v="0"/>
  </r>
  <r>
    <x v="124"/>
    <x v="12"/>
    <x v="1"/>
    <s v="T003"/>
    <x v="4"/>
    <s v="2025-01-05"/>
    <s v="2025-01-12"/>
    <x v="0"/>
    <n v="94"/>
    <s v="Virtual"/>
    <s v="Kiran Rao"/>
    <s v="-"/>
    <n v="7"/>
    <x v="0"/>
  </r>
  <r>
    <x v="125"/>
    <x v="0"/>
    <x v="0"/>
    <s v="T004"/>
    <x v="5"/>
    <s v="2025-01-22"/>
    <s v="2025-02-03"/>
    <x v="0"/>
    <n v="80"/>
    <s v="Virtual"/>
    <s v="Anita Rao"/>
    <s v="-"/>
    <n v="12"/>
    <x v="0"/>
  </r>
  <r>
    <x v="126"/>
    <x v="18"/>
    <x v="4"/>
    <s v="T006"/>
    <x v="3"/>
    <s v="2025-01-10"/>
    <m/>
    <x v="1"/>
    <m/>
    <s v="Self-paced"/>
    <s v="Manish Varma"/>
    <s v="Needs follow-up"/>
    <s v=""/>
    <x v="1"/>
  </r>
  <r>
    <x v="127"/>
    <x v="17"/>
    <x v="0"/>
    <s v="T006"/>
    <x v="3"/>
    <s v="2025-01-24"/>
    <s v="2025-01-30"/>
    <x v="0"/>
    <n v="76"/>
    <s v="Virtual"/>
    <s v="Ajay Patel"/>
    <s v="-"/>
    <n v="6"/>
    <x v="0"/>
  </r>
  <r>
    <x v="128"/>
    <x v="12"/>
    <x v="0"/>
    <s v="T002"/>
    <x v="2"/>
    <s v="2025-01-19"/>
    <m/>
    <x v="2"/>
    <m/>
    <s v="Virtual"/>
    <s v="Anita Rao"/>
    <s v="-"/>
    <s v=""/>
    <x v="1"/>
  </r>
  <r>
    <x v="129"/>
    <x v="2"/>
    <x v="3"/>
    <s v="T006"/>
    <x v="3"/>
    <s v="2025-01-14"/>
    <s v="2025-01-26"/>
    <x v="0"/>
    <n v="95"/>
    <s v="Virtual"/>
    <s v="Ajay Patel"/>
    <s v="-"/>
    <n v="12"/>
    <x v="0"/>
  </r>
  <r>
    <x v="130"/>
    <x v="14"/>
    <x v="3"/>
    <s v="T001"/>
    <x v="0"/>
    <s v="2025-01-13"/>
    <m/>
    <x v="1"/>
    <m/>
    <s v="Instructor-led"/>
    <s v="Manish Varma"/>
    <s v="Needs follow-up"/>
    <s v=""/>
    <x v="1"/>
  </r>
  <r>
    <x v="131"/>
    <x v="4"/>
    <x v="2"/>
    <s v="T006"/>
    <x v="3"/>
    <s v="2025-01-04"/>
    <m/>
    <x v="2"/>
    <m/>
    <s v="Self-paced"/>
    <s v="Kiran Rao"/>
    <s v="-"/>
    <s v=""/>
    <x v="1"/>
  </r>
  <r>
    <x v="132"/>
    <x v="13"/>
    <x v="2"/>
    <s v="T002"/>
    <x v="2"/>
    <s v="2025-01-08"/>
    <s v="2025-01-19"/>
    <x v="0"/>
    <n v="76"/>
    <s v="Self-paced"/>
    <s v="Ajay Patel"/>
    <s v="-"/>
    <n v="11"/>
    <x v="0"/>
  </r>
  <r>
    <x v="133"/>
    <x v="10"/>
    <x v="5"/>
    <s v="T004"/>
    <x v="5"/>
    <s v="2025-01-18"/>
    <s v="2025-01-23"/>
    <x v="0"/>
    <n v="95"/>
    <s v="Instructor-led"/>
    <s v="Shreya Iyer"/>
    <s v="-"/>
    <n v="5"/>
    <x v="0"/>
  </r>
  <r>
    <x v="134"/>
    <x v="7"/>
    <x v="0"/>
    <s v="T001"/>
    <x v="0"/>
    <s v="2025-01-06"/>
    <m/>
    <x v="1"/>
    <m/>
    <s v="Self-paced"/>
    <s v="Shreya Iyer"/>
    <s v="Needs follow-up"/>
    <s v=""/>
    <x v="1"/>
  </r>
  <r>
    <x v="135"/>
    <x v="9"/>
    <x v="3"/>
    <s v="T003"/>
    <x v="4"/>
    <s v="2025-01-11"/>
    <m/>
    <x v="2"/>
    <m/>
    <s v="Instructor-led"/>
    <s v="Shreya Iyer"/>
    <s v="-"/>
    <s v=""/>
    <x v="1"/>
  </r>
  <r>
    <x v="136"/>
    <x v="1"/>
    <x v="4"/>
    <s v="T006"/>
    <x v="3"/>
    <s v="2025-01-10"/>
    <m/>
    <x v="1"/>
    <m/>
    <s v="Self-paced"/>
    <s v="Manish Varma"/>
    <s v="Needs follow-up"/>
    <s v=""/>
    <x v="1"/>
  </r>
  <r>
    <x v="137"/>
    <x v="15"/>
    <x v="5"/>
    <s v="T004"/>
    <x v="5"/>
    <s v="2025-01-12"/>
    <m/>
    <x v="2"/>
    <m/>
    <s v="Self-paced"/>
    <s v="Manish Varma"/>
    <s v="-"/>
    <s v=""/>
    <x v="1"/>
  </r>
  <r>
    <x v="138"/>
    <x v="6"/>
    <x v="4"/>
    <s v="T003"/>
    <x v="4"/>
    <s v="2025-01-04"/>
    <m/>
    <x v="2"/>
    <m/>
    <s v="Self-paced"/>
    <s v="Ajay Patel"/>
    <s v="-"/>
    <s v=""/>
    <x v="1"/>
  </r>
  <r>
    <x v="139"/>
    <x v="17"/>
    <x v="0"/>
    <s v="T005"/>
    <x v="1"/>
    <s v="2025-01-12"/>
    <s v="2025-01-19"/>
    <x v="0"/>
    <n v="86"/>
    <s v="Self-paced"/>
    <s v="Manish Varma"/>
    <s v="-"/>
    <n v="7"/>
    <x v="0"/>
  </r>
  <r>
    <x v="140"/>
    <x v="8"/>
    <x v="2"/>
    <s v="T002"/>
    <x v="2"/>
    <s v="2025-01-18"/>
    <m/>
    <x v="2"/>
    <m/>
    <s v="Virtual"/>
    <s v="Anita Rao"/>
    <s v="-"/>
    <s v=""/>
    <x v="1"/>
  </r>
  <r>
    <x v="141"/>
    <x v="13"/>
    <x v="3"/>
    <s v="T004"/>
    <x v="5"/>
    <s v="2025-01-18"/>
    <m/>
    <x v="1"/>
    <m/>
    <s v="Instructor-led"/>
    <s v="Manish Varma"/>
    <s v="Needs follow-up"/>
    <s v=""/>
    <x v="1"/>
  </r>
  <r>
    <x v="142"/>
    <x v="9"/>
    <x v="0"/>
    <s v="T001"/>
    <x v="0"/>
    <s v="2025-01-02"/>
    <m/>
    <x v="2"/>
    <m/>
    <s v="Virtual"/>
    <s v="Manish Varma"/>
    <s v="-"/>
    <s v=""/>
    <x v="1"/>
  </r>
  <r>
    <x v="143"/>
    <x v="2"/>
    <x v="3"/>
    <s v="T006"/>
    <x v="3"/>
    <s v="2025-01-14"/>
    <s v="2025-01-23"/>
    <x v="0"/>
    <n v="75"/>
    <s v="Virtual"/>
    <s v="Manish Varma"/>
    <s v="-"/>
    <n v="9"/>
    <x v="0"/>
  </r>
  <r>
    <x v="144"/>
    <x v="8"/>
    <x v="1"/>
    <s v="T006"/>
    <x v="3"/>
    <s v="2025-01-16"/>
    <m/>
    <x v="1"/>
    <m/>
    <s v="Virtual"/>
    <s v="Manish Varma"/>
    <s v="Needs follow-up"/>
    <s v=""/>
    <x v="1"/>
  </r>
  <r>
    <x v="145"/>
    <x v="19"/>
    <x v="1"/>
    <s v="T006"/>
    <x v="3"/>
    <s v="2025-01-07"/>
    <m/>
    <x v="2"/>
    <m/>
    <s v="Instructor-led"/>
    <s v="Kiran Rao"/>
    <s v="-"/>
    <s v=""/>
    <x v="1"/>
  </r>
  <r>
    <x v="146"/>
    <x v="6"/>
    <x v="5"/>
    <s v="T005"/>
    <x v="1"/>
    <s v="2025-01-19"/>
    <m/>
    <x v="1"/>
    <m/>
    <s v="Virtual"/>
    <s v="Manish Varma"/>
    <s v="Needs follow-up"/>
    <s v=""/>
    <x v="1"/>
  </r>
  <r>
    <x v="147"/>
    <x v="10"/>
    <x v="2"/>
    <s v="T004"/>
    <x v="5"/>
    <s v="2025-01-23"/>
    <s v="2025-01-31"/>
    <x v="0"/>
    <n v="92"/>
    <s v="Self-paced"/>
    <s v="Ajay Patel"/>
    <s v="-"/>
    <n v="8"/>
    <x v="0"/>
  </r>
  <r>
    <x v="148"/>
    <x v="6"/>
    <x v="2"/>
    <s v="T003"/>
    <x v="4"/>
    <s v="2025-01-09"/>
    <s v="2025-01-20"/>
    <x v="0"/>
    <n v="72"/>
    <s v="Self-paced"/>
    <s v="Manish Varma"/>
    <s v="-"/>
    <n v="11"/>
    <x v="0"/>
  </r>
  <r>
    <x v="149"/>
    <x v="19"/>
    <x v="3"/>
    <s v="T002"/>
    <x v="2"/>
    <s v="2025-01-05"/>
    <m/>
    <x v="2"/>
    <m/>
    <s v="Virtual"/>
    <s v="Manish Varma"/>
    <s v="-"/>
    <s v="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73CBF-D8A7-47FB-9B97-EF0EA1C881E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O5:P12" firstHeaderRow="1" firstDataRow="1" firstDataCol="1" rowPageCount="1" colPageCount="1"/>
  <pivotFields count="14">
    <pivotField showAll="0"/>
    <pivotField showAll="0"/>
    <pivotField axis="axisRow" showAll="0">
      <items count="7">
        <item x="3"/>
        <item x="0"/>
        <item x="4"/>
        <item x="2"/>
        <item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dataField="1" multipleItemSelectionAllowed="1" showAll="0">
      <items count="3">
        <item h="1" x="0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3" hier="-1"/>
  </pageFields>
  <dataFields count="1">
    <dataField name="Count of Is_Overdue" fld="13" subtotal="count" baseField="0" baseItem="0"/>
  </dataField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072B3-A2E9-4847-9EA7-0676F96C02B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5:E23" firstHeaderRow="1" firstDataRow="2" firstDataCol="1"/>
  <pivotFields count="14">
    <pivotField dataField="1" showAll="0"/>
    <pivotField showAll="0"/>
    <pivotField axis="axisRow" showAll="0">
      <items count="7">
        <item x="3"/>
        <item x="0"/>
        <item x="4"/>
        <item x="2"/>
        <item x="5"/>
        <item x="1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Employee_ID" fld="0" subtotal="count" baseField="0" baseItem="0"/>
  </dataFields>
  <chartFormats count="3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BE609-251A-45AA-A802-D6B36DF6FAD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5" firstHeaderRow="1" firstDataRow="1" firstDataCol="1"/>
  <pivotFields count="14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_ID" fld="0" subtotal="count" showDataAs="percentOfTotal" baseField="7" baseItem="0" numFmtId="10"/>
  </dataFields>
  <chartFormats count="4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2758F-E206-4D6B-8DBE-3A9A2392D62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0:D193" firstHeaderRow="1" firstDataRow="1" firstDataCol="3" rowPageCount="2" colPageCount="1"/>
  <pivotFields count="14">
    <pivotField dataField="1" compact="0" outline="0" showAll="0"/>
    <pivotField axis="axisRow" compact="0" outline="0" showAll="0">
      <items count="21">
        <item x="6"/>
        <item x="10"/>
        <item x="12"/>
        <item x="17"/>
        <item x="0"/>
        <item x="1"/>
        <item x="14"/>
        <item x="11"/>
        <item x="18"/>
        <item x="7"/>
        <item x="8"/>
        <item x="9"/>
        <item x="3"/>
        <item x="15"/>
        <item x="13"/>
        <item x="2"/>
        <item x="5"/>
        <item x="16"/>
        <item x="4"/>
        <item x="19"/>
        <item t="default"/>
      </items>
    </pivotField>
    <pivotField axis="axisRow" compact="0" outline="0" showAll="0">
      <items count="7">
        <item x="3"/>
        <item x="0"/>
        <item x="4"/>
        <item x="2"/>
        <item x="5"/>
        <item x="1"/>
        <item t="default"/>
      </items>
    </pivotField>
    <pivotField compact="0" outline="0" showAll="0"/>
    <pivotField axis="axisRow" compact="0" outline="0" showAll="0">
      <items count="7">
        <item x="1"/>
        <item x="2"/>
        <item x="0"/>
        <item x="3"/>
        <item x="4"/>
        <item x="5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h="1"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3">
        <item h="1" x="0"/>
        <item x="1"/>
        <item t="default"/>
      </items>
    </pivotField>
  </pivotFields>
  <rowFields count="3">
    <field x="2"/>
    <field x="1"/>
    <field x="4"/>
  </rowFields>
  <rowItems count="163">
    <i>
      <x/>
      <x/>
      <x v="4"/>
    </i>
    <i t="default" r="1">
      <x/>
    </i>
    <i r="1">
      <x v="1"/>
      <x v="1"/>
    </i>
    <i t="default" r="1">
      <x v="1"/>
    </i>
    <i r="1">
      <x v="3"/>
      <x v="1"/>
    </i>
    <i t="default" r="1">
      <x v="3"/>
    </i>
    <i r="1">
      <x v="4"/>
      <x v="3"/>
    </i>
    <i t="default" r="1">
      <x v="4"/>
    </i>
    <i r="1">
      <x v="5"/>
      <x v="2"/>
    </i>
    <i t="default" r="1">
      <x v="5"/>
    </i>
    <i r="1">
      <x v="6"/>
      <x/>
    </i>
    <i r="2">
      <x v="2"/>
    </i>
    <i t="default" r="1">
      <x v="6"/>
    </i>
    <i r="1">
      <x v="11"/>
      <x v="4"/>
    </i>
    <i t="default" r="1">
      <x v="11"/>
    </i>
    <i r="1">
      <x v="13"/>
      <x v="4"/>
    </i>
    <i t="default" r="1">
      <x v="13"/>
    </i>
    <i r="1">
      <x v="14"/>
      <x v="5"/>
    </i>
    <i t="default" r="1">
      <x v="14"/>
    </i>
    <i r="1">
      <x v="19"/>
      <x v="1"/>
    </i>
    <i t="default" r="1">
      <x v="19"/>
    </i>
    <i t="default">
      <x/>
    </i>
    <i>
      <x v="1"/>
      <x v="1"/>
      <x v="3"/>
    </i>
    <i r="2">
      <x v="5"/>
    </i>
    <i t="default" r="1">
      <x v="1"/>
    </i>
    <i r="1">
      <x v="2"/>
      <x v="1"/>
    </i>
    <i r="2">
      <x v="2"/>
    </i>
    <i r="2">
      <x v="3"/>
    </i>
    <i t="default" r="1">
      <x v="2"/>
    </i>
    <i r="1">
      <x v="5"/>
      <x v="1"/>
    </i>
    <i t="default" r="1">
      <x v="5"/>
    </i>
    <i r="1">
      <x v="6"/>
      <x v="5"/>
    </i>
    <i t="default" r="1">
      <x v="6"/>
    </i>
    <i r="1">
      <x v="8"/>
      <x v="1"/>
    </i>
    <i t="default" r="1">
      <x v="8"/>
    </i>
    <i r="1">
      <x v="9"/>
      <x v="2"/>
    </i>
    <i t="default" r="1">
      <x v="9"/>
    </i>
    <i r="1">
      <x v="10"/>
      <x v="2"/>
    </i>
    <i t="default" r="1">
      <x v="10"/>
    </i>
    <i r="1">
      <x v="11"/>
      <x v="2"/>
    </i>
    <i t="default" r="1">
      <x v="11"/>
    </i>
    <i r="1">
      <x v="12"/>
      <x v="3"/>
    </i>
    <i t="default" r="1">
      <x v="12"/>
    </i>
    <i r="1">
      <x v="14"/>
      <x v="5"/>
    </i>
    <i t="default" r="1">
      <x v="14"/>
    </i>
    <i r="1">
      <x v="15"/>
      <x v="1"/>
    </i>
    <i r="2">
      <x v="2"/>
    </i>
    <i r="2">
      <x v="4"/>
    </i>
    <i t="default" r="1">
      <x v="15"/>
    </i>
    <i t="default">
      <x v="1"/>
    </i>
    <i>
      <x v="2"/>
      <x/>
      <x v="1"/>
    </i>
    <i r="2">
      <x v="4"/>
    </i>
    <i r="2">
      <x v="5"/>
    </i>
    <i t="default" r="1">
      <x/>
    </i>
    <i r="1">
      <x v="3"/>
      <x v="4"/>
    </i>
    <i t="default" r="1">
      <x v="3"/>
    </i>
    <i r="1">
      <x v="4"/>
      <x/>
    </i>
    <i t="default" r="1">
      <x v="4"/>
    </i>
    <i r="1">
      <x v="5"/>
      <x v="3"/>
    </i>
    <i t="default" r="1">
      <x v="5"/>
    </i>
    <i r="1">
      <x v="6"/>
      <x v="2"/>
    </i>
    <i t="default" r="1">
      <x v="6"/>
    </i>
    <i r="1">
      <x v="7"/>
      <x v="2"/>
    </i>
    <i r="2">
      <x v="5"/>
    </i>
    <i t="default" r="1">
      <x v="7"/>
    </i>
    <i r="1">
      <x v="8"/>
      <x v="3"/>
    </i>
    <i t="default" r="1">
      <x v="8"/>
    </i>
    <i r="1">
      <x v="10"/>
      <x v="4"/>
    </i>
    <i t="default" r="1">
      <x v="10"/>
    </i>
    <i r="1">
      <x v="11"/>
      <x/>
    </i>
    <i t="default" r="1">
      <x v="11"/>
    </i>
    <i r="1">
      <x v="12"/>
      <x v="5"/>
    </i>
    <i t="default" r="1">
      <x v="12"/>
    </i>
    <i r="1">
      <x v="13"/>
      <x v="5"/>
    </i>
    <i t="default" r="1">
      <x v="13"/>
    </i>
    <i r="1">
      <x v="15"/>
      <x v="2"/>
    </i>
    <i t="default" r="1">
      <x v="15"/>
    </i>
    <i r="1">
      <x v="17"/>
      <x/>
    </i>
    <i t="default" r="1">
      <x v="17"/>
    </i>
    <i r="1">
      <x v="19"/>
      <x/>
    </i>
    <i r="2">
      <x v="5"/>
    </i>
    <i t="default" r="1">
      <x v="19"/>
    </i>
    <i t="default">
      <x v="2"/>
    </i>
    <i>
      <x v="3"/>
      <x v="3"/>
      <x/>
    </i>
    <i r="2">
      <x v="1"/>
    </i>
    <i t="default" r="1">
      <x v="3"/>
    </i>
    <i r="1">
      <x v="4"/>
      <x v="2"/>
    </i>
    <i t="default" r="1">
      <x v="4"/>
    </i>
    <i r="1">
      <x v="5"/>
      <x v="1"/>
    </i>
    <i t="default" r="1">
      <x v="5"/>
    </i>
    <i r="1">
      <x v="6"/>
      <x v="1"/>
    </i>
    <i r="2">
      <x v="3"/>
    </i>
    <i t="default" r="1">
      <x v="6"/>
    </i>
    <i r="1">
      <x v="7"/>
      <x v="3"/>
    </i>
    <i r="2">
      <x v="5"/>
    </i>
    <i t="default" r="1">
      <x v="7"/>
    </i>
    <i r="1">
      <x v="9"/>
      <x v="5"/>
    </i>
    <i t="default" r="1">
      <x v="9"/>
    </i>
    <i r="1">
      <x v="10"/>
      <x v="1"/>
    </i>
    <i r="2">
      <x v="2"/>
    </i>
    <i t="default" r="1">
      <x v="10"/>
    </i>
    <i r="1">
      <x v="12"/>
      <x v="2"/>
    </i>
    <i t="default" r="1">
      <x v="12"/>
    </i>
    <i r="1">
      <x v="15"/>
      <x v="4"/>
    </i>
    <i r="2">
      <x v="5"/>
    </i>
    <i t="default" r="1">
      <x v="15"/>
    </i>
    <i r="1">
      <x v="16"/>
      <x v="4"/>
    </i>
    <i t="default" r="1">
      <x v="16"/>
    </i>
    <i r="1">
      <x v="18"/>
      <x v="1"/>
    </i>
    <i r="2">
      <x v="3"/>
    </i>
    <i t="default" r="1">
      <x v="18"/>
    </i>
    <i t="default">
      <x v="3"/>
    </i>
    <i>
      <x v="4"/>
      <x/>
      <x/>
    </i>
    <i t="default" r="1">
      <x/>
    </i>
    <i r="1">
      <x v="1"/>
      <x v="3"/>
    </i>
    <i t="default" r="1">
      <x v="1"/>
    </i>
    <i r="1">
      <x v="2"/>
      <x/>
    </i>
    <i r="2">
      <x v="1"/>
    </i>
    <i r="2">
      <x v="3"/>
    </i>
    <i t="default" r="1">
      <x v="2"/>
    </i>
    <i r="1">
      <x v="5"/>
      <x v="4"/>
    </i>
    <i t="default" r="1">
      <x v="5"/>
    </i>
    <i r="1">
      <x v="6"/>
      <x v="3"/>
    </i>
    <i t="default" r="1">
      <x v="6"/>
    </i>
    <i r="1">
      <x v="10"/>
      <x v="5"/>
    </i>
    <i t="default" r="1">
      <x v="10"/>
    </i>
    <i r="1">
      <x v="12"/>
      <x/>
    </i>
    <i t="default" r="1">
      <x v="12"/>
    </i>
    <i r="1">
      <x v="13"/>
      <x v="2"/>
    </i>
    <i r="2">
      <x v="5"/>
    </i>
    <i t="default" r="1">
      <x v="13"/>
    </i>
    <i r="1">
      <x v="14"/>
      <x v="3"/>
    </i>
    <i r="2">
      <x v="4"/>
    </i>
    <i t="default" r="1">
      <x v="14"/>
    </i>
    <i r="1">
      <x v="16"/>
      <x/>
    </i>
    <i r="2">
      <x v="1"/>
    </i>
    <i t="default" r="1">
      <x v="16"/>
    </i>
    <i t="default">
      <x v="4"/>
    </i>
    <i>
      <x v="5"/>
      <x v="2"/>
      <x v="3"/>
    </i>
    <i t="default" r="1">
      <x v="2"/>
    </i>
    <i r="1">
      <x v="4"/>
      <x v="5"/>
    </i>
    <i t="default" r="1">
      <x v="4"/>
    </i>
    <i r="1">
      <x v="5"/>
      <x/>
    </i>
    <i r="2">
      <x v="2"/>
    </i>
    <i t="default" r="1">
      <x v="5"/>
    </i>
    <i r="1">
      <x v="7"/>
      <x v="3"/>
    </i>
    <i t="default" r="1">
      <x v="7"/>
    </i>
    <i r="1">
      <x v="8"/>
      <x v="1"/>
    </i>
    <i t="default" r="1">
      <x v="8"/>
    </i>
    <i r="1">
      <x v="10"/>
      <x v="3"/>
    </i>
    <i t="default" r="1">
      <x v="10"/>
    </i>
    <i r="1">
      <x v="11"/>
      <x v="4"/>
    </i>
    <i t="default" r="1">
      <x v="11"/>
    </i>
    <i r="1">
      <x v="12"/>
      <x v="5"/>
    </i>
    <i t="default" r="1">
      <x v="12"/>
    </i>
    <i r="1">
      <x v="13"/>
      <x v="1"/>
    </i>
    <i r="2">
      <x v="5"/>
    </i>
    <i t="default" r="1">
      <x v="13"/>
    </i>
    <i r="1">
      <x v="19"/>
      <x v="3"/>
    </i>
    <i r="2">
      <x v="4"/>
    </i>
    <i t="default" r="1">
      <x v="19"/>
    </i>
    <i t="default">
      <x v="5"/>
    </i>
    <i t="grand">
      <x/>
    </i>
  </rowItems>
  <colItems count="1">
    <i/>
  </colItems>
  <pageFields count="2">
    <pageField fld="7" hier="-1"/>
    <pageField fld="13" hier="-1"/>
  </pageField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9F447-E667-4FE0-BB91-92A408B46DD5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E50:F57" firstHeaderRow="1" firstDataRow="1" firstDataCol="1"/>
  <pivotFields count="14">
    <pivotField showAll="0"/>
    <pivotField showAll="0"/>
    <pivotField showAll="0"/>
    <pivotField showAll="0"/>
    <pivotField axis="axisRow" showAll="0">
      <items count="7">
        <item x="1"/>
        <item x="2"/>
        <item x="0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Days_To_Complete" fld="12" subtotal="average" baseField="4" baseItem="0" numFmtId="1"/>
  </dataFields>
  <formats count="3">
    <format dxfId="2">
      <pivotArea collapsedLevelsAreSubtotals="1" fieldPosition="0">
        <references count="1">
          <reference field="4" count="1">
            <x v="0"/>
          </reference>
        </references>
      </pivotArea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chartFormats count="1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zoomScaleNormal="100" workbookViewId="0">
      <selection activeCell="B26" sqref="A1:L151"/>
    </sheetView>
  </sheetViews>
  <sheetFormatPr defaultRowHeight="14.4" x14ac:dyDescent="0.3"/>
  <cols>
    <col min="1" max="1" width="16.109375" customWidth="1"/>
    <col min="2" max="2" width="23" customWidth="1"/>
    <col min="3" max="3" width="21" customWidth="1"/>
    <col min="4" max="4" width="19.88671875" customWidth="1"/>
    <col min="5" max="5" width="20.5546875" customWidth="1"/>
    <col min="6" max="6" width="19.88671875" customWidth="1"/>
    <col min="7" max="7" width="16.44140625" customWidth="1"/>
    <col min="8" max="8" width="16.77734375" customWidth="1"/>
    <col min="9" max="9" width="16.5546875" customWidth="1"/>
    <col min="10" max="10" width="17" customWidth="1"/>
    <col min="11" max="11" width="19.33203125" customWidth="1"/>
    <col min="12" max="12" width="20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94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H3" t="s">
        <v>29</v>
      </c>
      <c r="J3" t="s">
        <v>20</v>
      </c>
      <c r="K3" t="s">
        <v>30</v>
      </c>
      <c r="L3" t="s">
        <v>31</v>
      </c>
    </row>
    <row r="4" spans="1:12" x14ac:dyDescent="0.3">
      <c r="A4" t="s">
        <v>32</v>
      </c>
      <c r="B4" t="s">
        <v>33</v>
      </c>
      <c r="C4" t="s">
        <v>14</v>
      </c>
      <c r="D4" t="s">
        <v>34</v>
      </c>
      <c r="E4" t="s">
        <v>35</v>
      </c>
      <c r="F4" t="s">
        <v>36</v>
      </c>
      <c r="H4" t="s">
        <v>37</v>
      </c>
      <c r="J4" t="s">
        <v>38</v>
      </c>
      <c r="K4" t="s">
        <v>39</v>
      </c>
      <c r="L4" t="s">
        <v>22</v>
      </c>
    </row>
    <row r="5" spans="1:12" x14ac:dyDescent="0.3">
      <c r="A5" t="s">
        <v>40</v>
      </c>
      <c r="B5" t="s">
        <v>41</v>
      </c>
      <c r="C5" t="s">
        <v>42</v>
      </c>
      <c r="D5" t="s">
        <v>15</v>
      </c>
      <c r="E5" t="s">
        <v>16</v>
      </c>
      <c r="F5" t="s">
        <v>43</v>
      </c>
      <c r="H5" t="s">
        <v>37</v>
      </c>
      <c r="J5" t="s">
        <v>20</v>
      </c>
      <c r="K5" t="s">
        <v>30</v>
      </c>
      <c r="L5" t="s">
        <v>22</v>
      </c>
    </row>
    <row r="6" spans="1:12" x14ac:dyDescent="0.3">
      <c r="A6" t="s">
        <v>44</v>
      </c>
      <c r="B6" t="s">
        <v>24</v>
      </c>
      <c r="C6" t="s">
        <v>45</v>
      </c>
      <c r="D6" t="s">
        <v>15</v>
      </c>
      <c r="E6" t="s">
        <v>16</v>
      </c>
      <c r="F6" t="s">
        <v>46</v>
      </c>
      <c r="H6" t="s">
        <v>29</v>
      </c>
      <c r="J6" t="s">
        <v>47</v>
      </c>
      <c r="K6" t="s">
        <v>30</v>
      </c>
      <c r="L6" t="s">
        <v>31</v>
      </c>
    </row>
    <row r="7" spans="1:12" x14ac:dyDescent="0.3">
      <c r="A7" t="s">
        <v>48</v>
      </c>
      <c r="B7" t="s">
        <v>49</v>
      </c>
      <c r="C7" t="s">
        <v>14</v>
      </c>
      <c r="D7" t="s">
        <v>50</v>
      </c>
      <c r="E7" t="s">
        <v>51</v>
      </c>
      <c r="F7" t="s">
        <v>52</v>
      </c>
      <c r="G7" t="s">
        <v>53</v>
      </c>
      <c r="H7" t="s">
        <v>19</v>
      </c>
      <c r="I7">
        <v>87</v>
      </c>
      <c r="J7" t="s">
        <v>47</v>
      </c>
      <c r="K7" t="s">
        <v>39</v>
      </c>
      <c r="L7" t="s">
        <v>22</v>
      </c>
    </row>
    <row r="8" spans="1:12" x14ac:dyDescent="0.3">
      <c r="A8" t="s">
        <v>54</v>
      </c>
      <c r="B8" t="s">
        <v>55</v>
      </c>
      <c r="C8" t="s">
        <v>56</v>
      </c>
      <c r="D8" t="s">
        <v>34</v>
      </c>
      <c r="E8" t="s">
        <v>35</v>
      </c>
      <c r="F8" t="s">
        <v>57</v>
      </c>
      <c r="G8" t="s">
        <v>46</v>
      </c>
      <c r="H8" t="s">
        <v>19</v>
      </c>
      <c r="I8">
        <v>91</v>
      </c>
      <c r="J8" t="s">
        <v>47</v>
      </c>
      <c r="K8" t="s">
        <v>58</v>
      </c>
      <c r="L8" t="s">
        <v>22</v>
      </c>
    </row>
    <row r="9" spans="1:12" x14ac:dyDescent="0.3">
      <c r="A9" t="s">
        <v>59</v>
      </c>
      <c r="B9" t="s">
        <v>24</v>
      </c>
      <c r="C9" t="s">
        <v>60</v>
      </c>
      <c r="D9" t="s">
        <v>61</v>
      </c>
      <c r="E9" t="s">
        <v>62</v>
      </c>
      <c r="F9" t="s">
        <v>63</v>
      </c>
      <c r="H9" t="s">
        <v>37</v>
      </c>
      <c r="J9" t="s">
        <v>38</v>
      </c>
      <c r="K9" t="s">
        <v>58</v>
      </c>
      <c r="L9" t="s">
        <v>22</v>
      </c>
    </row>
    <row r="10" spans="1:12" x14ac:dyDescent="0.3">
      <c r="A10" t="s">
        <v>64</v>
      </c>
      <c r="B10" t="s">
        <v>65</v>
      </c>
      <c r="C10" t="s">
        <v>42</v>
      </c>
      <c r="D10" t="s">
        <v>15</v>
      </c>
      <c r="E10" t="s">
        <v>16</v>
      </c>
      <c r="F10" t="s">
        <v>57</v>
      </c>
      <c r="G10" t="s">
        <v>66</v>
      </c>
      <c r="H10" t="s">
        <v>19</v>
      </c>
      <c r="I10">
        <v>78</v>
      </c>
      <c r="J10" t="s">
        <v>47</v>
      </c>
      <c r="K10" t="s">
        <v>67</v>
      </c>
      <c r="L10" t="s">
        <v>22</v>
      </c>
    </row>
    <row r="11" spans="1:12" x14ac:dyDescent="0.3">
      <c r="A11" t="s">
        <v>68</v>
      </c>
      <c r="B11" t="s">
        <v>69</v>
      </c>
      <c r="C11" t="s">
        <v>14</v>
      </c>
      <c r="D11" t="s">
        <v>34</v>
      </c>
      <c r="E11" t="s">
        <v>35</v>
      </c>
      <c r="F11" t="s">
        <v>70</v>
      </c>
      <c r="G11" t="s">
        <v>71</v>
      </c>
      <c r="H11" t="s">
        <v>19</v>
      </c>
      <c r="I11">
        <v>72</v>
      </c>
      <c r="J11" t="s">
        <v>47</v>
      </c>
      <c r="K11" t="s">
        <v>67</v>
      </c>
      <c r="L11" t="s">
        <v>22</v>
      </c>
    </row>
    <row r="12" spans="1:12" x14ac:dyDescent="0.3">
      <c r="A12" t="s">
        <v>72</v>
      </c>
      <c r="B12" t="s">
        <v>73</v>
      </c>
      <c r="C12" t="s">
        <v>56</v>
      </c>
      <c r="D12" t="s">
        <v>61</v>
      </c>
      <c r="E12" t="s">
        <v>62</v>
      </c>
      <c r="F12" t="s">
        <v>43</v>
      </c>
      <c r="H12" t="s">
        <v>29</v>
      </c>
      <c r="J12" t="s">
        <v>20</v>
      </c>
      <c r="K12" t="s">
        <v>67</v>
      </c>
      <c r="L12" t="s">
        <v>31</v>
      </c>
    </row>
    <row r="13" spans="1:12" x14ac:dyDescent="0.3">
      <c r="A13" t="s">
        <v>74</v>
      </c>
      <c r="B13" t="s">
        <v>75</v>
      </c>
      <c r="C13" t="s">
        <v>60</v>
      </c>
      <c r="D13" t="s">
        <v>50</v>
      </c>
      <c r="E13" t="s">
        <v>51</v>
      </c>
      <c r="F13" t="s">
        <v>70</v>
      </c>
      <c r="G13" t="s">
        <v>63</v>
      </c>
      <c r="H13" t="s">
        <v>19</v>
      </c>
      <c r="I13">
        <v>88</v>
      </c>
      <c r="J13" t="s">
        <v>20</v>
      </c>
      <c r="K13" t="s">
        <v>21</v>
      </c>
      <c r="L13" t="s">
        <v>22</v>
      </c>
    </row>
    <row r="14" spans="1:12" x14ac:dyDescent="0.3">
      <c r="A14" t="s">
        <v>76</v>
      </c>
      <c r="B14" t="s">
        <v>41</v>
      </c>
      <c r="C14" t="s">
        <v>42</v>
      </c>
      <c r="D14" t="s">
        <v>34</v>
      </c>
      <c r="E14" t="s">
        <v>35</v>
      </c>
      <c r="F14" t="s">
        <v>36</v>
      </c>
      <c r="G14" t="s">
        <v>77</v>
      </c>
      <c r="H14" t="s">
        <v>19</v>
      </c>
      <c r="I14">
        <v>84</v>
      </c>
      <c r="J14" t="s">
        <v>47</v>
      </c>
      <c r="K14" t="s">
        <v>30</v>
      </c>
      <c r="L14" t="s">
        <v>22</v>
      </c>
    </row>
    <row r="15" spans="1:12" x14ac:dyDescent="0.3">
      <c r="A15" t="s">
        <v>78</v>
      </c>
      <c r="B15" t="s">
        <v>13</v>
      </c>
      <c r="C15" t="s">
        <v>25</v>
      </c>
      <c r="D15" t="s">
        <v>15</v>
      </c>
      <c r="E15" t="s">
        <v>16</v>
      </c>
      <c r="F15" t="s">
        <v>43</v>
      </c>
      <c r="G15" t="s">
        <v>79</v>
      </c>
      <c r="H15" t="s">
        <v>19</v>
      </c>
      <c r="I15">
        <v>86</v>
      </c>
      <c r="J15" t="s">
        <v>38</v>
      </c>
      <c r="K15" t="s">
        <v>21</v>
      </c>
      <c r="L15" t="s">
        <v>22</v>
      </c>
    </row>
    <row r="16" spans="1:12" x14ac:dyDescent="0.3">
      <c r="A16" t="s">
        <v>80</v>
      </c>
      <c r="B16" t="s">
        <v>81</v>
      </c>
      <c r="C16" t="s">
        <v>45</v>
      </c>
      <c r="D16" t="s">
        <v>34</v>
      </c>
      <c r="E16" t="s">
        <v>35</v>
      </c>
      <c r="F16" t="s">
        <v>82</v>
      </c>
      <c r="H16" t="s">
        <v>29</v>
      </c>
      <c r="J16" t="s">
        <v>47</v>
      </c>
      <c r="K16" t="s">
        <v>67</v>
      </c>
      <c r="L16" t="s">
        <v>31</v>
      </c>
    </row>
    <row r="17" spans="1:12" x14ac:dyDescent="0.3">
      <c r="A17" t="s">
        <v>83</v>
      </c>
      <c r="B17" t="s">
        <v>84</v>
      </c>
      <c r="C17" t="s">
        <v>25</v>
      </c>
      <c r="D17" t="s">
        <v>26</v>
      </c>
      <c r="E17" t="s">
        <v>27</v>
      </c>
      <c r="F17" t="s">
        <v>63</v>
      </c>
      <c r="G17" t="s">
        <v>85</v>
      </c>
      <c r="H17" t="s">
        <v>19</v>
      </c>
      <c r="I17">
        <v>81</v>
      </c>
      <c r="J17" t="s">
        <v>47</v>
      </c>
      <c r="K17" t="s">
        <v>39</v>
      </c>
      <c r="L17" t="s">
        <v>22</v>
      </c>
    </row>
    <row r="18" spans="1:12" x14ac:dyDescent="0.3">
      <c r="A18" t="s">
        <v>86</v>
      </c>
      <c r="B18" t="s">
        <v>13</v>
      </c>
      <c r="C18" t="s">
        <v>42</v>
      </c>
      <c r="D18" t="s">
        <v>15</v>
      </c>
      <c r="E18" t="s">
        <v>16</v>
      </c>
      <c r="F18" t="s">
        <v>46</v>
      </c>
      <c r="H18" t="s">
        <v>37</v>
      </c>
      <c r="J18" t="s">
        <v>20</v>
      </c>
      <c r="K18" t="s">
        <v>58</v>
      </c>
      <c r="L18" t="s">
        <v>22</v>
      </c>
    </row>
    <row r="19" spans="1:12" x14ac:dyDescent="0.3">
      <c r="A19" t="s">
        <v>87</v>
      </c>
      <c r="B19" t="s">
        <v>69</v>
      </c>
      <c r="C19" t="s">
        <v>25</v>
      </c>
      <c r="D19" t="s">
        <v>88</v>
      </c>
      <c r="E19" t="s">
        <v>89</v>
      </c>
      <c r="F19" t="s">
        <v>28</v>
      </c>
      <c r="G19" t="s">
        <v>53</v>
      </c>
      <c r="H19" t="s">
        <v>19</v>
      </c>
      <c r="I19">
        <v>87</v>
      </c>
      <c r="J19" t="s">
        <v>38</v>
      </c>
      <c r="K19" t="s">
        <v>67</v>
      </c>
      <c r="L19" t="s">
        <v>22</v>
      </c>
    </row>
    <row r="20" spans="1:12" x14ac:dyDescent="0.3">
      <c r="A20" t="s">
        <v>90</v>
      </c>
      <c r="B20" t="s">
        <v>84</v>
      </c>
      <c r="C20" t="s">
        <v>14</v>
      </c>
      <c r="D20" t="s">
        <v>88</v>
      </c>
      <c r="E20" t="s">
        <v>89</v>
      </c>
      <c r="F20" t="s">
        <v>18</v>
      </c>
      <c r="G20" t="s">
        <v>91</v>
      </c>
      <c r="H20" t="s">
        <v>19</v>
      </c>
      <c r="I20">
        <v>88</v>
      </c>
      <c r="J20" t="s">
        <v>20</v>
      </c>
      <c r="K20" t="s">
        <v>58</v>
      </c>
      <c r="L20" t="s">
        <v>22</v>
      </c>
    </row>
    <row r="21" spans="1:12" x14ac:dyDescent="0.3">
      <c r="A21" t="s">
        <v>92</v>
      </c>
      <c r="B21" t="s">
        <v>41</v>
      </c>
      <c r="C21" t="s">
        <v>14</v>
      </c>
      <c r="D21" t="s">
        <v>50</v>
      </c>
      <c r="E21" t="s">
        <v>51</v>
      </c>
      <c r="F21" t="s">
        <v>18</v>
      </c>
      <c r="H21" t="s">
        <v>37</v>
      </c>
      <c r="J21" t="s">
        <v>47</v>
      </c>
      <c r="K21" t="s">
        <v>30</v>
      </c>
      <c r="L21" t="s">
        <v>22</v>
      </c>
    </row>
    <row r="22" spans="1:12" x14ac:dyDescent="0.3">
      <c r="A22" t="s">
        <v>93</v>
      </c>
      <c r="B22" t="s">
        <v>94</v>
      </c>
      <c r="C22" t="s">
        <v>25</v>
      </c>
      <c r="D22" t="s">
        <v>50</v>
      </c>
      <c r="E22" t="s">
        <v>51</v>
      </c>
      <c r="F22" t="s">
        <v>36</v>
      </c>
      <c r="G22" t="s">
        <v>95</v>
      </c>
      <c r="H22" t="s">
        <v>19</v>
      </c>
      <c r="I22">
        <v>86</v>
      </c>
      <c r="J22" t="s">
        <v>20</v>
      </c>
      <c r="K22" t="s">
        <v>39</v>
      </c>
      <c r="L22" t="s">
        <v>22</v>
      </c>
    </row>
    <row r="23" spans="1:12" x14ac:dyDescent="0.3">
      <c r="A23" t="s">
        <v>96</v>
      </c>
      <c r="B23" t="s">
        <v>65</v>
      </c>
      <c r="C23" t="s">
        <v>45</v>
      </c>
      <c r="D23" t="s">
        <v>61</v>
      </c>
      <c r="E23" t="s">
        <v>62</v>
      </c>
      <c r="F23" t="s">
        <v>79</v>
      </c>
      <c r="H23" t="s">
        <v>29</v>
      </c>
      <c r="J23" t="s">
        <v>47</v>
      </c>
      <c r="K23" t="s">
        <v>21</v>
      </c>
      <c r="L23" t="s">
        <v>31</v>
      </c>
    </row>
    <row r="24" spans="1:12" x14ac:dyDescent="0.3">
      <c r="A24" t="s">
        <v>97</v>
      </c>
      <c r="B24" t="s">
        <v>69</v>
      </c>
      <c r="C24" t="s">
        <v>42</v>
      </c>
      <c r="D24" t="s">
        <v>88</v>
      </c>
      <c r="E24" t="s">
        <v>89</v>
      </c>
      <c r="F24" t="s">
        <v>77</v>
      </c>
      <c r="H24" t="s">
        <v>37</v>
      </c>
      <c r="J24" t="s">
        <v>38</v>
      </c>
      <c r="K24" t="s">
        <v>39</v>
      </c>
      <c r="L24" t="s">
        <v>22</v>
      </c>
    </row>
    <row r="25" spans="1:12" x14ac:dyDescent="0.3">
      <c r="A25" t="s">
        <v>98</v>
      </c>
      <c r="B25" t="s">
        <v>99</v>
      </c>
      <c r="C25" t="s">
        <v>60</v>
      </c>
      <c r="D25" t="s">
        <v>50</v>
      </c>
      <c r="E25" t="s">
        <v>51</v>
      </c>
      <c r="F25" t="s">
        <v>100</v>
      </c>
      <c r="G25" t="s">
        <v>101</v>
      </c>
      <c r="H25" t="s">
        <v>19</v>
      </c>
      <c r="I25">
        <v>87</v>
      </c>
      <c r="J25" t="s">
        <v>47</v>
      </c>
      <c r="K25" t="s">
        <v>39</v>
      </c>
      <c r="L25" t="s">
        <v>22</v>
      </c>
    </row>
    <row r="26" spans="1:12" x14ac:dyDescent="0.3">
      <c r="A26" t="s">
        <v>102</v>
      </c>
      <c r="B26" t="s">
        <v>55</v>
      </c>
      <c r="C26" t="s">
        <v>60</v>
      </c>
      <c r="D26" t="s">
        <v>34</v>
      </c>
      <c r="E26" t="s">
        <v>35</v>
      </c>
      <c r="F26" t="s">
        <v>17</v>
      </c>
      <c r="H26" t="s">
        <v>37</v>
      </c>
      <c r="J26" t="s">
        <v>47</v>
      </c>
      <c r="K26" t="s">
        <v>30</v>
      </c>
      <c r="L26" t="s">
        <v>22</v>
      </c>
    </row>
    <row r="27" spans="1:12" x14ac:dyDescent="0.3">
      <c r="A27" t="s">
        <v>103</v>
      </c>
      <c r="B27" t="s">
        <v>84</v>
      </c>
      <c r="C27" t="s">
        <v>56</v>
      </c>
      <c r="D27" t="s">
        <v>88</v>
      </c>
      <c r="E27" t="s">
        <v>89</v>
      </c>
      <c r="F27" t="s">
        <v>104</v>
      </c>
      <c r="H27" t="s">
        <v>29</v>
      </c>
      <c r="J27" t="s">
        <v>38</v>
      </c>
      <c r="K27" t="s">
        <v>21</v>
      </c>
      <c r="L27" t="s">
        <v>31</v>
      </c>
    </row>
    <row r="28" spans="1:12" x14ac:dyDescent="0.3">
      <c r="A28" t="s">
        <v>105</v>
      </c>
      <c r="B28" t="s">
        <v>94</v>
      </c>
      <c r="C28" t="s">
        <v>60</v>
      </c>
      <c r="D28" t="s">
        <v>34</v>
      </c>
      <c r="E28" t="s">
        <v>35</v>
      </c>
      <c r="F28" t="s">
        <v>70</v>
      </c>
      <c r="H28" t="s">
        <v>37</v>
      </c>
      <c r="J28" t="s">
        <v>38</v>
      </c>
      <c r="K28" t="s">
        <v>21</v>
      </c>
      <c r="L28" t="s">
        <v>22</v>
      </c>
    </row>
    <row r="29" spans="1:12" x14ac:dyDescent="0.3">
      <c r="A29" t="s">
        <v>106</v>
      </c>
      <c r="B29" t="s">
        <v>94</v>
      </c>
      <c r="C29" t="s">
        <v>25</v>
      </c>
      <c r="D29" t="s">
        <v>50</v>
      </c>
      <c r="E29" t="s">
        <v>51</v>
      </c>
      <c r="F29" t="s">
        <v>107</v>
      </c>
      <c r="H29" t="s">
        <v>37</v>
      </c>
      <c r="J29" t="s">
        <v>20</v>
      </c>
      <c r="K29" t="s">
        <v>58</v>
      </c>
      <c r="L29" t="s">
        <v>22</v>
      </c>
    </row>
    <row r="30" spans="1:12" x14ac:dyDescent="0.3">
      <c r="A30" t="s">
        <v>108</v>
      </c>
      <c r="B30" t="s">
        <v>65</v>
      </c>
      <c r="C30" t="s">
        <v>56</v>
      </c>
      <c r="D30" t="s">
        <v>34</v>
      </c>
      <c r="E30" t="s">
        <v>35</v>
      </c>
      <c r="F30" t="s">
        <v>100</v>
      </c>
      <c r="H30" t="s">
        <v>37</v>
      </c>
      <c r="J30" t="s">
        <v>47</v>
      </c>
      <c r="K30" t="s">
        <v>30</v>
      </c>
      <c r="L30" t="s">
        <v>22</v>
      </c>
    </row>
    <row r="31" spans="1:12" x14ac:dyDescent="0.3">
      <c r="A31" t="s">
        <v>109</v>
      </c>
      <c r="B31" t="s">
        <v>84</v>
      </c>
      <c r="C31" t="s">
        <v>56</v>
      </c>
      <c r="D31" t="s">
        <v>15</v>
      </c>
      <c r="E31" t="s">
        <v>16</v>
      </c>
      <c r="F31" t="s">
        <v>52</v>
      </c>
      <c r="H31" t="s">
        <v>29</v>
      </c>
      <c r="J31" t="s">
        <v>38</v>
      </c>
      <c r="K31" t="s">
        <v>21</v>
      </c>
      <c r="L31" t="s">
        <v>31</v>
      </c>
    </row>
    <row r="32" spans="1:12" x14ac:dyDescent="0.3">
      <c r="A32" t="s">
        <v>110</v>
      </c>
      <c r="B32" t="s">
        <v>33</v>
      </c>
      <c r="C32" t="s">
        <v>56</v>
      </c>
      <c r="D32" t="s">
        <v>15</v>
      </c>
      <c r="E32" t="s">
        <v>16</v>
      </c>
      <c r="F32" t="s">
        <v>111</v>
      </c>
      <c r="H32" t="s">
        <v>37</v>
      </c>
      <c r="J32" t="s">
        <v>38</v>
      </c>
      <c r="K32" t="s">
        <v>21</v>
      </c>
      <c r="L32" t="s">
        <v>22</v>
      </c>
    </row>
    <row r="33" spans="1:12" x14ac:dyDescent="0.3">
      <c r="A33" t="s">
        <v>112</v>
      </c>
      <c r="B33" t="s">
        <v>75</v>
      </c>
      <c r="C33" t="s">
        <v>25</v>
      </c>
      <c r="D33" t="s">
        <v>61</v>
      </c>
      <c r="E33" t="s">
        <v>62</v>
      </c>
      <c r="F33" t="s">
        <v>28</v>
      </c>
      <c r="H33" t="s">
        <v>29</v>
      </c>
      <c r="J33" t="s">
        <v>47</v>
      </c>
      <c r="K33" t="s">
        <v>67</v>
      </c>
      <c r="L33" t="s">
        <v>31</v>
      </c>
    </row>
    <row r="34" spans="1:12" x14ac:dyDescent="0.3">
      <c r="A34" t="s">
        <v>113</v>
      </c>
      <c r="B34" t="s">
        <v>114</v>
      </c>
      <c r="C34" t="s">
        <v>42</v>
      </c>
      <c r="D34" t="s">
        <v>34</v>
      </c>
      <c r="E34" t="s">
        <v>35</v>
      </c>
      <c r="F34" t="s">
        <v>52</v>
      </c>
      <c r="H34" t="s">
        <v>37</v>
      </c>
      <c r="J34" t="s">
        <v>38</v>
      </c>
      <c r="K34" t="s">
        <v>39</v>
      </c>
      <c r="L34" t="s">
        <v>22</v>
      </c>
    </row>
    <row r="35" spans="1:12" x14ac:dyDescent="0.3">
      <c r="A35" t="s">
        <v>115</v>
      </c>
      <c r="B35" t="s">
        <v>99</v>
      </c>
      <c r="C35" t="s">
        <v>60</v>
      </c>
      <c r="D35" t="s">
        <v>50</v>
      </c>
      <c r="E35" t="s">
        <v>51</v>
      </c>
      <c r="F35" t="s">
        <v>77</v>
      </c>
      <c r="H35" t="s">
        <v>29</v>
      </c>
      <c r="J35" t="s">
        <v>38</v>
      </c>
      <c r="K35" t="s">
        <v>21</v>
      </c>
      <c r="L35" t="s">
        <v>31</v>
      </c>
    </row>
    <row r="36" spans="1:12" x14ac:dyDescent="0.3">
      <c r="A36" t="s">
        <v>116</v>
      </c>
      <c r="B36" t="s">
        <v>33</v>
      </c>
      <c r="C36" t="s">
        <v>14</v>
      </c>
      <c r="D36" t="s">
        <v>15</v>
      </c>
      <c r="E36" t="s">
        <v>16</v>
      </c>
      <c r="F36" t="s">
        <v>52</v>
      </c>
      <c r="H36" t="s">
        <v>37</v>
      </c>
      <c r="J36" t="s">
        <v>38</v>
      </c>
      <c r="K36" t="s">
        <v>67</v>
      </c>
      <c r="L36" t="s">
        <v>22</v>
      </c>
    </row>
    <row r="37" spans="1:12" x14ac:dyDescent="0.3">
      <c r="A37" t="s">
        <v>117</v>
      </c>
      <c r="B37" t="s">
        <v>118</v>
      </c>
      <c r="C37" t="s">
        <v>45</v>
      </c>
      <c r="D37" t="s">
        <v>61</v>
      </c>
      <c r="E37" t="s">
        <v>62</v>
      </c>
      <c r="F37" t="s">
        <v>95</v>
      </c>
      <c r="H37" t="s">
        <v>29</v>
      </c>
      <c r="J37" t="s">
        <v>38</v>
      </c>
      <c r="K37" t="s">
        <v>39</v>
      </c>
      <c r="L37" t="s">
        <v>31</v>
      </c>
    </row>
    <row r="38" spans="1:12" x14ac:dyDescent="0.3">
      <c r="A38" t="s">
        <v>119</v>
      </c>
      <c r="B38" t="s">
        <v>33</v>
      </c>
      <c r="C38" t="s">
        <v>42</v>
      </c>
      <c r="D38" t="s">
        <v>61</v>
      </c>
      <c r="E38" t="s">
        <v>62</v>
      </c>
      <c r="F38" t="s">
        <v>77</v>
      </c>
      <c r="H38" t="s">
        <v>37</v>
      </c>
      <c r="J38" t="s">
        <v>47</v>
      </c>
      <c r="K38" t="s">
        <v>67</v>
      </c>
      <c r="L38" t="s">
        <v>22</v>
      </c>
    </row>
    <row r="39" spans="1:12" x14ac:dyDescent="0.3">
      <c r="A39" t="s">
        <v>120</v>
      </c>
      <c r="B39" t="s">
        <v>24</v>
      </c>
      <c r="C39" t="s">
        <v>42</v>
      </c>
      <c r="D39" t="s">
        <v>34</v>
      </c>
      <c r="E39" t="s">
        <v>35</v>
      </c>
      <c r="F39" t="s">
        <v>17</v>
      </c>
      <c r="H39" t="s">
        <v>29</v>
      </c>
      <c r="J39" t="s">
        <v>20</v>
      </c>
      <c r="K39" t="s">
        <v>30</v>
      </c>
      <c r="L39" t="s">
        <v>31</v>
      </c>
    </row>
    <row r="40" spans="1:12" x14ac:dyDescent="0.3">
      <c r="A40" t="s">
        <v>121</v>
      </c>
      <c r="B40" t="s">
        <v>55</v>
      </c>
      <c r="C40" t="s">
        <v>42</v>
      </c>
      <c r="D40" t="s">
        <v>61</v>
      </c>
      <c r="E40" t="s">
        <v>62</v>
      </c>
      <c r="F40" t="s">
        <v>122</v>
      </c>
      <c r="H40" t="s">
        <v>37</v>
      </c>
      <c r="J40" t="s">
        <v>38</v>
      </c>
      <c r="K40" t="s">
        <v>30</v>
      </c>
      <c r="L40" t="s">
        <v>22</v>
      </c>
    </row>
    <row r="41" spans="1:12" x14ac:dyDescent="0.3">
      <c r="A41" t="s">
        <v>123</v>
      </c>
      <c r="B41" t="s">
        <v>75</v>
      </c>
      <c r="C41" t="s">
        <v>45</v>
      </c>
      <c r="D41" t="s">
        <v>50</v>
      </c>
      <c r="E41" t="s">
        <v>51</v>
      </c>
      <c r="F41" t="s">
        <v>85</v>
      </c>
      <c r="G41" t="s">
        <v>124</v>
      </c>
      <c r="H41" t="s">
        <v>19</v>
      </c>
      <c r="I41">
        <v>74</v>
      </c>
      <c r="J41" t="s">
        <v>20</v>
      </c>
      <c r="K41" t="s">
        <v>58</v>
      </c>
      <c r="L41" t="s">
        <v>22</v>
      </c>
    </row>
    <row r="42" spans="1:12" x14ac:dyDescent="0.3">
      <c r="A42" t="s">
        <v>125</v>
      </c>
      <c r="B42" t="s">
        <v>65</v>
      </c>
      <c r="C42" t="s">
        <v>60</v>
      </c>
      <c r="D42" t="s">
        <v>26</v>
      </c>
      <c r="E42" t="s">
        <v>27</v>
      </c>
      <c r="F42" t="s">
        <v>104</v>
      </c>
      <c r="H42" t="s">
        <v>37</v>
      </c>
      <c r="J42" t="s">
        <v>20</v>
      </c>
      <c r="K42" t="s">
        <v>67</v>
      </c>
      <c r="L42" t="s">
        <v>22</v>
      </c>
    </row>
    <row r="43" spans="1:12" x14ac:dyDescent="0.3">
      <c r="A43" t="s">
        <v>126</v>
      </c>
      <c r="B43" t="s">
        <v>65</v>
      </c>
      <c r="C43" t="s">
        <v>60</v>
      </c>
      <c r="D43" t="s">
        <v>26</v>
      </c>
      <c r="E43" t="s">
        <v>27</v>
      </c>
      <c r="F43" t="s">
        <v>100</v>
      </c>
      <c r="G43" t="s">
        <v>101</v>
      </c>
      <c r="H43" t="s">
        <v>19</v>
      </c>
      <c r="I43">
        <v>88</v>
      </c>
      <c r="J43" t="s">
        <v>47</v>
      </c>
      <c r="K43" t="s">
        <v>58</v>
      </c>
      <c r="L43" t="s">
        <v>22</v>
      </c>
    </row>
    <row r="44" spans="1:12" x14ac:dyDescent="0.3">
      <c r="A44" t="s">
        <v>127</v>
      </c>
      <c r="B44" t="s">
        <v>81</v>
      </c>
      <c r="C44" t="s">
        <v>14</v>
      </c>
      <c r="D44" t="s">
        <v>34</v>
      </c>
      <c r="E44" t="s">
        <v>35</v>
      </c>
      <c r="F44" t="s">
        <v>104</v>
      </c>
      <c r="G44" t="s">
        <v>128</v>
      </c>
      <c r="H44" t="s">
        <v>19</v>
      </c>
      <c r="I44">
        <v>70</v>
      </c>
      <c r="J44" t="s">
        <v>20</v>
      </c>
      <c r="K44" t="s">
        <v>30</v>
      </c>
      <c r="L44" t="s">
        <v>22</v>
      </c>
    </row>
    <row r="45" spans="1:12" x14ac:dyDescent="0.3">
      <c r="A45" t="s">
        <v>129</v>
      </c>
      <c r="B45" t="s">
        <v>41</v>
      </c>
      <c r="C45" t="s">
        <v>42</v>
      </c>
      <c r="D45" t="s">
        <v>50</v>
      </c>
      <c r="E45" t="s">
        <v>51</v>
      </c>
      <c r="F45" t="s">
        <v>66</v>
      </c>
      <c r="G45" t="s">
        <v>53</v>
      </c>
      <c r="H45" t="s">
        <v>19</v>
      </c>
      <c r="I45">
        <v>87</v>
      </c>
      <c r="J45" t="s">
        <v>38</v>
      </c>
      <c r="K45" t="s">
        <v>67</v>
      </c>
      <c r="L45" t="s">
        <v>22</v>
      </c>
    </row>
    <row r="46" spans="1:12" x14ac:dyDescent="0.3">
      <c r="A46" t="s">
        <v>130</v>
      </c>
      <c r="B46" t="s">
        <v>99</v>
      </c>
      <c r="C46" t="s">
        <v>14</v>
      </c>
      <c r="D46" t="s">
        <v>88</v>
      </c>
      <c r="E46" t="s">
        <v>89</v>
      </c>
      <c r="F46" t="s">
        <v>100</v>
      </c>
      <c r="H46" t="s">
        <v>37</v>
      </c>
      <c r="J46" t="s">
        <v>47</v>
      </c>
      <c r="K46" t="s">
        <v>58</v>
      </c>
      <c r="L46" t="s">
        <v>22</v>
      </c>
    </row>
    <row r="47" spans="1:12" x14ac:dyDescent="0.3">
      <c r="A47" t="s">
        <v>131</v>
      </c>
      <c r="B47" t="s">
        <v>13</v>
      </c>
      <c r="C47" t="s">
        <v>56</v>
      </c>
      <c r="D47" t="s">
        <v>88</v>
      </c>
      <c r="E47" t="s">
        <v>89</v>
      </c>
      <c r="F47" t="s">
        <v>85</v>
      </c>
      <c r="G47" t="s">
        <v>53</v>
      </c>
      <c r="H47" t="s">
        <v>19</v>
      </c>
      <c r="I47">
        <v>87</v>
      </c>
      <c r="J47" t="s">
        <v>20</v>
      </c>
      <c r="K47" t="s">
        <v>39</v>
      </c>
      <c r="L47" t="s">
        <v>22</v>
      </c>
    </row>
    <row r="48" spans="1:12" x14ac:dyDescent="0.3">
      <c r="A48" t="s">
        <v>132</v>
      </c>
      <c r="B48" t="s">
        <v>99</v>
      </c>
      <c r="C48" t="s">
        <v>60</v>
      </c>
      <c r="D48" t="s">
        <v>61</v>
      </c>
      <c r="E48" t="s">
        <v>62</v>
      </c>
      <c r="F48" t="s">
        <v>133</v>
      </c>
      <c r="H48" t="s">
        <v>29</v>
      </c>
      <c r="J48" t="s">
        <v>47</v>
      </c>
      <c r="K48" t="s">
        <v>21</v>
      </c>
      <c r="L48" t="s">
        <v>31</v>
      </c>
    </row>
    <row r="49" spans="1:12" x14ac:dyDescent="0.3">
      <c r="A49" t="s">
        <v>134</v>
      </c>
      <c r="B49" t="s">
        <v>135</v>
      </c>
      <c r="C49" t="s">
        <v>45</v>
      </c>
      <c r="D49" t="s">
        <v>50</v>
      </c>
      <c r="E49" t="s">
        <v>51</v>
      </c>
      <c r="F49" t="s">
        <v>104</v>
      </c>
      <c r="G49" t="s">
        <v>91</v>
      </c>
      <c r="H49" t="s">
        <v>19</v>
      </c>
      <c r="I49">
        <v>83</v>
      </c>
      <c r="J49" t="s">
        <v>47</v>
      </c>
      <c r="K49" t="s">
        <v>21</v>
      </c>
      <c r="L49" t="s">
        <v>22</v>
      </c>
    </row>
    <row r="50" spans="1:12" x14ac:dyDescent="0.3">
      <c r="A50" t="s">
        <v>136</v>
      </c>
      <c r="B50" t="s">
        <v>81</v>
      </c>
      <c r="C50" t="s">
        <v>60</v>
      </c>
      <c r="D50" t="s">
        <v>50</v>
      </c>
      <c r="E50" t="s">
        <v>51</v>
      </c>
      <c r="F50" t="s">
        <v>70</v>
      </c>
      <c r="H50" t="s">
        <v>37</v>
      </c>
      <c r="J50" t="s">
        <v>38</v>
      </c>
      <c r="K50" t="s">
        <v>67</v>
      </c>
      <c r="L50" t="s">
        <v>22</v>
      </c>
    </row>
    <row r="51" spans="1:12" x14ac:dyDescent="0.3">
      <c r="A51" t="s">
        <v>137</v>
      </c>
      <c r="B51" t="s">
        <v>69</v>
      </c>
      <c r="C51" t="s">
        <v>56</v>
      </c>
      <c r="D51" t="s">
        <v>88</v>
      </c>
      <c r="E51" t="s">
        <v>89</v>
      </c>
      <c r="F51" t="s">
        <v>36</v>
      </c>
      <c r="G51" t="s">
        <v>95</v>
      </c>
      <c r="H51" t="s">
        <v>19</v>
      </c>
      <c r="I51">
        <v>84</v>
      </c>
      <c r="J51" t="s">
        <v>47</v>
      </c>
      <c r="K51" t="s">
        <v>30</v>
      </c>
      <c r="L51" t="s">
        <v>22</v>
      </c>
    </row>
    <row r="52" spans="1:12" x14ac:dyDescent="0.3">
      <c r="A52" t="s">
        <v>138</v>
      </c>
      <c r="B52" t="s">
        <v>94</v>
      </c>
      <c r="C52" t="s">
        <v>60</v>
      </c>
      <c r="D52" t="s">
        <v>50</v>
      </c>
      <c r="E52" t="s">
        <v>51</v>
      </c>
      <c r="F52" t="s">
        <v>111</v>
      </c>
      <c r="H52" t="s">
        <v>37</v>
      </c>
      <c r="J52" t="s">
        <v>47</v>
      </c>
      <c r="K52" t="s">
        <v>58</v>
      </c>
      <c r="L52" t="s">
        <v>22</v>
      </c>
    </row>
    <row r="53" spans="1:12" x14ac:dyDescent="0.3">
      <c r="A53" t="s">
        <v>139</v>
      </c>
      <c r="B53" t="s">
        <v>140</v>
      </c>
      <c r="C53" t="s">
        <v>42</v>
      </c>
      <c r="D53" t="s">
        <v>26</v>
      </c>
      <c r="E53" t="s">
        <v>27</v>
      </c>
      <c r="F53" t="s">
        <v>57</v>
      </c>
      <c r="H53" t="s">
        <v>29</v>
      </c>
      <c r="J53" t="s">
        <v>20</v>
      </c>
      <c r="K53" t="s">
        <v>67</v>
      </c>
      <c r="L53" t="s">
        <v>31</v>
      </c>
    </row>
    <row r="54" spans="1:12" x14ac:dyDescent="0.3">
      <c r="A54" t="s">
        <v>141</v>
      </c>
      <c r="B54" t="s">
        <v>55</v>
      </c>
      <c r="C54" t="s">
        <v>60</v>
      </c>
      <c r="D54" t="s">
        <v>26</v>
      </c>
      <c r="E54" t="s">
        <v>27</v>
      </c>
      <c r="F54" t="s">
        <v>17</v>
      </c>
      <c r="H54" t="s">
        <v>29</v>
      </c>
      <c r="J54" t="s">
        <v>47</v>
      </c>
      <c r="K54" t="s">
        <v>58</v>
      </c>
      <c r="L54" t="s">
        <v>31</v>
      </c>
    </row>
    <row r="55" spans="1:12" x14ac:dyDescent="0.3">
      <c r="A55" t="s">
        <v>142</v>
      </c>
      <c r="B55" t="s">
        <v>49</v>
      </c>
      <c r="C55" t="s">
        <v>14</v>
      </c>
      <c r="D55" t="s">
        <v>61</v>
      </c>
      <c r="E55" t="s">
        <v>62</v>
      </c>
      <c r="F55" t="s">
        <v>18</v>
      </c>
      <c r="G55" t="s">
        <v>143</v>
      </c>
      <c r="H55" t="s">
        <v>19</v>
      </c>
      <c r="I55">
        <v>91</v>
      </c>
      <c r="J55" t="s">
        <v>38</v>
      </c>
      <c r="K55" t="s">
        <v>21</v>
      </c>
      <c r="L55" t="s">
        <v>22</v>
      </c>
    </row>
    <row r="56" spans="1:12" x14ac:dyDescent="0.3">
      <c r="A56" t="s">
        <v>144</v>
      </c>
      <c r="B56" t="s">
        <v>140</v>
      </c>
      <c r="C56" t="s">
        <v>56</v>
      </c>
      <c r="D56" t="s">
        <v>61</v>
      </c>
      <c r="E56" t="s">
        <v>62</v>
      </c>
      <c r="F56" t="s">
        <v>111</v>
      </c>
      <c r="H56" t="s">
        <v>37</v>
      </c>
      <c r="J56" t="s">
        <v>47</v>
      </c>
      <c r="K56" t="s">
        <v>58</v>
      </c>
      <c r="L56" t="s">
        <v>22</v>
      </c>
    </row>
    <row r="57" spans="1:12" x14ac:dyDescent="0.3">
      <c r="A57" t="s">
        <v>145</v>
      </c>
      <c r="B57" t="s">
        <v>118</v>
      </c>
      <c r="C57" t="s">
        <v>25</v>
      </c>
      <c r="D57" t="s">
        <v>34</v>
      </c>
      <c r="E57" t="s">
        <v>35</v>
      </c>
      <c r="F57" t="s">
        <v>133</v>
      </c>
      <c r="H57" t="s">
        <v>37</v>
      </c>
      <c r="J57" t="s">
        <v>20</v>
      </c>
      <c r="K57" t="s">
        <v>67</v>
      </c>
      <c r="L57" t="s">
        <v>22</v>
      </c>
    </row>
    <row r="58" spans="1:12" x14ac:dyDescent="0.3">
      <c r="A58" t="s">
        <v>146</v>
      </c>
      <c r="B58" t="s">
        <v>49</v>
      </c>
      <c r="C58" t="s">
        <v>42</v>
      </c>
      <c r="D58" t="s">
        <v>34</v>
      </c>
      <c r="E58" t="s">
        <v>35</v>
      </c>
      <c r="F58" t="s">
        <v>122</v>
      </c>
      <c r="H58" t="s">
        <v>37</v>
      </c>
      <c r="J58" t="s">
        <v>38</v>
      </c>
      <c r="K58" t="s">
        <v>21</v>
      </c>
      <c r="L58" t="s">
        <v>22</v>
      </c>
    </row>
    <row r="59" spans="1:12" x14ac:dyDescent="0.3">
      <c r="A59" t="s">
        <v>147</v>
      </c>
      <c r="B59" t="s">
        <v>94</v>
      </c>
      <c r="C59" t="s">
        <v>42</v>
      </c>
      <c r="D59" t="s">
        <v>88</v>
      </c>
      <c r="E59" t="s">
        <v>89</v>
      </c>
      <c r="F59" t="s">
        <v>71</v>
      </c>
      <c r="G59" t="s">
        <v>18</v>
      </c>
      <c r="H59" t="s">
        <v>19</v>
      </c>
      <c r="I59">
        <v>74</v>
      </c>
      <c r="J59" t="s">
        <v>47</v>
      </c>
      <c r="K59" t="s">
        <v>30</v>
      </c>
      <c r="L59" t="s">
        <v>22</v>
      </c>
    </row>
    <row r="60" spans="1:12" x14ac:dyDescent="0.3">
      <c r="A60" t="s">
        <v>148</v>
      </c>
      <c r="B60" t="s">
        <v>140</v>
      </c>
      <c r="C60" t="s">
        <v>45</v>
      </c>
      <c r="D60" t="s">
        <v>15</v>
      </c>
      <c r="E60" t="s">
        <v>16</v>
      </c>
      <c r="F60" t="s">
        <v>133</v>
      </c>
      <c r="G60" t="s">
        <v>28</v>
      </c>
      <c r="H60" t="s">
        <v>19</v>
      </c>
      <c r="I60">
        <v>86</v>
      </c>
      <c r="J60" t="s">
        <v>20</v>
      </c>
      <c r="K60" t="s">
        <v>58</v>
      </c>
      <c r="L60" t="s">
        <v>22</v>
      </c>
    </row>
    <row r="61" spans="1:12" x14ac:dyDescent="0.3">
      <c r="A61" t="s">
        <v>149</v>
      </c>
      <c r="B61" t="s">
        <v>13</v>
      </c>
      <c r="C61" t="s">
        <v>14</v>
      </c>
      <c r="D61" t="s">
        <v>34</v>
      </c>
      <c r="E61" t="s">
        <v>35</v>
      </c>
      <c r="F61" t="s">
        <v>52</v>
      </c>
      <c r="G61" t="s">
        <v>107</v>
      </c>
      <c r="H61" t="s">
        <v>19</v>
      </c>
      <c r="I61">
        <v>81</v>
      </c>
      <c r="J61" t="s">
        <v>20</v>
      </c>
      <c r="K61" t="s">
        <v>39</v>
      </c>
      <c r="L61" t="s">
        <v>22</v>
      </c>
    </row>
    <row r="62" spans="1:12" x14ac:dyDescent="0.3">
      <c r="A62" t="s">
        <v>150</v>
      </c>
      <c r="B62" t="s">
        <v>13</v>
      </c>
      <c r="C62" t="s">
        <v>25</v>
      </c>
      <c r="D62" t="s">
        <v>88</v>
      </c>
      <c r="E62" t="s">
        <v>89</v>
      </c>
      <c r="F62" t="s">
        <v>107</v>
      </c>
      <c r="H62" t="s">
        <v>29</v>
      </c>
      <c r="J62" t="s">
        <v>20</v>
      </c>
      <c r="K62" t="s">
        <v>58</v>
      </c>
      <c r="L62" t="s">
        <v>31</v>
      </c>
    </row>
    <row r="63" spans="1:12" x14ac:dyDescent="0.3">
      <c r="A63" t="s">
        <v>151</v>
      </c>
      <c r="B63" t="s">
        <v>140</v>
      </c>
      <c r="C63" t="s">
        <v>42</v>
      </c>
      <c r="D63" t="s">
        <v>34</v>
      </c>
      <c r="E63" t="s">
        <v>35</v>
      </c>
      <c r="F63" t="s">
        <v>52</v>
      </c>
      <c r="H63" t="s">
        <v>29</v>
      </c>
      <c r="J63" t="s">
        <v>20</v>
      </c>
      <c r="K63" t="s">
        <v>39</v>
      </c>
      <c r="L63" t="s">
        <v>31</v>
      </c>
    </row>
    <row r="64" spans="1:12" x14ac:dyDescent="0.3">
      <c r="A64" t="s">
        <v>152</v>
      </c>
      <c r="B64" t="s">
        <v>140</v>
      </c>
      <c r="C64" t="s">
        <v>45</v>
      </c>
      <c r="D64" t="s">
        <v>34</v>
      </c>
      <c r="E64" t="s">
        <v>35</v>
      </c>
      <c r="F64" t="s">
        <v>63</v>
      </c>
      <c r="H64" t="s">
        <v>29</v>
      </c>
      <c r="J64" t="s">
        <v>38</v>
      </c>
      <c r="K64" t="s">
        <v>39</v>
      </c>
      <c r="L64" t="s">
        <v>31</v>
      </c>
    </row>
    <row r="65" spans="1:12" x14ac:dyDescent="0.3">
      <c r="A65" t="s">
        <v>153</v>
      </c>
      <c r="B65" t="s">
        <v>41</v>
      </c>
      <c r="C65" t="s">
        <v>60</v>
      </c>
      <c r="D65" t="s">
        <v>26</v>
      </c>
      <c r="E65" t="s">
        <v>27</v>
      </c>
      <c r="F65" t="s">
        <v>17</v>
      </c>
      <c r="H65" t="s">
        <v>29</v>
      </c>
      <c r="J65" t="s">
        <v>20</v>
      </c>
      <c r="K65" t="s">
        <v>58</v>
      </c>
      <c r="L65" t="s">
        <v>31</v>
      </c>
    </row>
    <row r="66" spans="1:12" x14ac:dyDescent="0.3">
      <c r="A66" t="s">
        <v>154</v>
      </c>
      <c r="B66" t="s">
        <v>69</v>
      </c>
      <c r="C66" t="s">
        <v>25</v>
      </c>
      <c r="D66" t="s">
        <v>34</v>
      </c>
      <c r="E66" t="s">
        <v>35</v>
      </c>
      <c r="F66" t="s">
        <v>111</v>
      </c>
      <c r="G66" t="s">
        <v>82</v>
      </c>
      <c r="H66" t="s">
        <v>19</v>
      </c>
      <c r="I66">
        <v>79</v>
      </c>
      <c r="J66" t="s">
        <v>47</v>
      </c>
      <c r="K66" t="s">
        <v>21</v>
      </c>
      <c r="L66" t="s">
        <v>22</v>
      </c>
    </row>
    <row r="67" spans="1:12" x14ac:dyDescent="0.3">
      <c r="A67" t="s">
        <v>155</v>
      </c>
      <c r="B67" t="s">
        <v>73</v>
      </c>
      <c r="C67" t="s">
        <v>14</v>
      </c>
      <c r="D67" t="s">
        <v>15</v>
      </c>
      <c r="E67" t="s">
        <v>16</v>
      </c>
      <c r="F67" t="s">
        <v>17</v>
      </c>
      <c r="H67" t="s">
        <v>37</v>
      </c>
      <c r="J67" t="s">
        <v>47</v>
      </c>
      <c r="K67" t="s">
        <v>21</v>
      </c>
      <c r="L67" t="s">
        <v>22</v>
      </c>
    </row>
    <row r="68" spans="1:12" x14ac:dyDescent="0.3">
      <c r="A68" t="s">
        <v>156</v>
      </c>
      <c r="B68" t="s">
        <v>135</v>
      </c>
      <c r="C68" t="s">
        <v>56</v>
      </c>
      <c r="D68" t="s">
        <v>15</v>
      </c>
      <c r="E68" t="s">
        <v>16</v>
      </c>
      <c r="F68" t="s">
        <v>85</v>
      </c>
      <c r="G68" t="s">
        <v>53</v>
      </c>
      <c r="H68" t="s">
        <v>19</v>
      </c>
      <c r="I68">
        <v>80</v>
      </c>
      <c r="J68" t="s">
        <v>20</v>
      </c>
      <c r="K68" t="s">
        <v>58</v>
      </c>
      <c r="L68" t="s">
        <v>22</v>
      </c>
    </row>
    <row r="69" spans="1:12" x14ac:dyDescent="0.3">
      <c r="A69" t="s">
        <v>157</v>
      </c>
      <c r="B69" t="s">
        <v>84</v>
      </c>
      <c r="C69" t="s">
        <v>42</v>
      </c>
      <c r="D69" t="s">
        <v>88</v>
      </c>
      <c r="E69" t="s">
        <v>89</v>
      </c>
      <c r="F69" t="s">
        <v>85</v>
      </c>
      <c r="H69" t="s">
        <v>29</v>
      </c>
      <c r="J69" t="s">
        <v>38</v>
      </c>
      <c r="K69" t="s">
        <v>21</v>
      </c>
      <c r="L69" t="s">
        <v>31</v>
      </c>
    </row>
    <row r="70" spans="1:12" x14ac:dyDescent="0.3">
      <c r="A70" t="s">
        <v>158</v>
      </c>
      <c r="B70" t="s">
        <v>73</v>
      </c>
      <c r="C70" t="s">
        <v>42</v>
      </c>
      <c r="D70" t="s">
        <v>15</v>
      </c>
      <c r="E70" t="s">
        <v>16</v>
      </c>
      <c r="F70" t="s">
        <v>28</v>
      </c>
      <c r="H70" t="s">
        <v>37</v>
      </c>
      <c r="J70" t="s">
        <v>38</v>
      </c>
      <c r="K70" t="s">
        <v>21</v>
      </c>
      <c r="L70" t="s">
        <v>22</v>
      </c>
    </row>
    <row r="71" spans="1:12" x14ac:dyDescent="0.3">
      <c r="A71" t="s">
        <v>159</v>
      </c>
      <c r="B71" t="s">
        <v>118</v>
      </c>
      <c r="C71" t="s">
        <v>56</v>
      </c>
      <c r="D71" t="s">
        <v>88</v>
      </c>
      <c r="E71" t="s">
        <v>89</v>
      </c>
      <c r="F71" t="s">
        <v>85</v>
      </c>
      <c r="H71" t="s">
        <v>29</v>
      </c>
      <c r="J71" t="s">
        <v>47</v>
      </c>
      <c r="K71" t="s">
        <v>39</v>
      </c>
      <c r="L71" t="s">
        <v>31</v>
      </c>
    </row>
    <row r="72" spans="1:12" x14ac:dyDescent="0.3">
      <c r="A72" t="s">
        <v>160</v>
      </c>
      <c r="B72" t="s">
        <v>69</v>
      </c>
      <c r="C72" t="s">
        <v>42</v>
      </c>
      <c r="D72" t="s">
        <v>26</v>
      </c>
      <c r="E72" t="s">
        <v>27</v>
      </c>
      <c r="F72" t="s">
        <v>85</v>
      </c>
      <c r="G72" t="s">
        <v>161</v>
      </c>
      <c r="H72" t="s">
        <v>19</v>
      </c>
      <c r="I72">
        <v>94</v>
      </c>
      <c r="J72" t="s">
        <v>47</v>
      </c>
      <c r="K72" t="s">
        <v>21</v>
      </c>
      <c r="L72" t="s">
        <v>22</v>
      </c>
    </row>
    <row r="73" spans="1:12" x14ac:dyDescent="0.3">
      <c r="A73" t="s">
        <v>162</v>
      </c>
      <c r="B73" t="s">
        <v>163</v>
      </c>
      <c r="C73" t="s">
        <v>14</v>
      </c>
      <c r="D73" t="s">
        <v>34</v>
      </c>
      <c r="E73" t="s">
        <v>35</v>
      </c>
      <c r="F73" t="s">
        <v>63</v>
      </c>
      <c r="H73" t="s">
        <v>37</v>
      </c>
      <c r="J73" t="s">
        <v>20</v>
      </c>
      <c r="K73" t="s">
        <v>30</v>
      </c>
      <c r="L73" t="s">
        <v>22</v>
      </c>
    </row>
    <row r="74" spans="1:12" x14ac:dyDescent="0.3">
      <c r="A74" t="s">
        <v>164</v>
      </c>
      <c r="B74" t="s">
        <v>165</v>
      </c>
      <c r="C74" t="s">
        <v>56</v>
      </c>
      <c r="D74" t="s">
        <v>88</v>
      </c>
      <c r="E74" t="s">
        <v>89</v>
      </c>
      <c r="F74" t="s">
        <v>66</v>
      </c>
      <c r="H74" t="s">
        <v>29</v>
      </c>
      <c r="J74" t="s">
        <v>20</v>
      </c>
      <c r="K74" t="s">
        <v>39</v>
      </c>
      <c r="L74" t="s">
        <v>31</v>
      </c>
    </row>
    <row r="75" spans="1:12" x14ac:dyDescent="0.3">
      <c r="A75" t="s">
        <v>166</v>
      </c>
      <c r="B75" t="s">
        <v>73</v>
      </c>
      <c r="C75" t="s">
        <v>45</v>
      </c>
      <c r="D75" t="s">
        <v>61</v>
      </c>
      <c r="E75" t="s">
        <v>62</v>
      </c>
      <c r="F75" t="s">
        <v>167</v>
      </c>
      <c r="G75" t="s">
        <v>111</v>
      </c>
      <c r="H75" t="s">
        <v>19</v>
      </c>
      <c r="I75">
        <v>85</v>
      </c>
      <c r="J75" t="s">
        <v>47</v>
      </c>
      <c r="K75" t="s">
        <v>67</v>
      </c>
      <c r="L75" t="s">
        <v>22</v>
      </c>
    </row>
    <row r="76" spans="1:12" x14ac:dyDescent="0.3">
      <c r="A76" t="s">
        <v>168</v>
      </c>
      <c r="B76" t="s">
        <v>114</v>
      </c>
      <c r="C76" t="s">
        <v>45</v>
      </c>
      <c r="D76" t="s">
        <v>26</v>
      </c>
      <c r="E76" t="s">
        <v>27</v>
      </c>
      <c r="F76" t="s">
        <v>77</v>
      </c>
      <c r="H76" t="s">
        <v>37</v>
      </c>
      <c r="J76" t="s">
        <v>38</v>
      </c>
      <c r="K76" t="s">
        <v>39</v>
      </c>
      <c r="L76" t="s">
        <v>22</v>
      </c>
    </row>
    <row r="77" spans="1:12" x14ac:dyDescent="0.3">
      <c r="A77" t="s">
        <v>169</v>
      </c>
      <c r="B77" t="s">
        <v>65</v>
      </c>
      <c r="C77" t="s">
        <v>56</v>
      </c>
      <c r="D77" t="s">
        <v>88</v>
      </c>
      <c r="E77" t="s">
        <v>89</v>
      </c>
      <c r="F77" t="s">
        <v>111</v>
      </c>
      <c r="H77" t="s">
        <v>37</v>
      </c>
      <c r="J77" t="s">
        <v>20</v>
      </c>
      <c r="K77" t="s">
        <v>30</v>
      </c>
      <c r="L77" t="s">
        <v>22</v>
      </c>
    </row>
    <row r="78" spans="1:12" x14ac:dyDescent="0.3">
      <c r="A78" t="s">
        <v>170</v>
      </c>
      <c r="B78" t="s">
        <v>41</v>
      </c>
      <c r="C78" t="s">
        <v>56</v>
      </c>
      <c r="D78" t="s">
        <v>34</v>
      </c>
      <c r="E78" t="s">
        <v>35</v>
      </c>
      <c r="F78" t="s">
        <v>79</v>
      </c>
      <c r="G78" t="s">
        <v>143</v>
      </c>
      <c r="H78" t="s">
        <v>19</v>
      </c>
      <c r="I78">
        <v>81</v>
      </c>
      <c r="J78" t="s">
        <v>47</v>
      </c>
      <c r="K78" t="s">
        <v>67</v>
      </c>
      <c r="L78" t="s">
        <v>22</v>
      </c>
    </row>
    <row r="79" spans="1:12" x14ac:dyDescent="0.3">
      <c r="A79" t="s">
        <v>171</v>
      </c>
      <c r="B79" t="s">
        <v>24</v>
      </c>
      <c r="C79" t="s">
        <v>25</v>
      </c>
      <c r="D79" t="s">
        <v>15</v>
      </c>
      <c r="E79" t="s">
        <v>16</v>
      </c>
      <c r="F79" t="s">
        <v>17</v>
      </c>
      <c r="H79" t="s">
        <v>29</v>
      </c>
      <c r="J79" t="s">
        <v>38</v>
      </c>
      <c r="K79" t="s">
        <v>21</v>
      </c>
      <c r="L79" t="s">
        <v>31</v>
      </c>
    </row>
    <row r="80" spans="1:12" x14ac:dyDescent="0.3">
      <c r="A80" t="s">
        <v>172</v>
      </c>
      <c r="B80" t="s">
        <v>13</v>
      </c>
      <c r="C80" t="s">
        <v>45</v>
      </c>
      <c r="D80" t="s">
        <v>50</v>
      </c>
      <c r="E80" t="s">
        <v>51</v>
      </c>
      <c r="F80" t="s">
        <v>104</v>
      </c>
      <c r="H80" t="s">
        <v>29</v>
      </c>
      <c r="J80" t="s">
        <v>47</v>
      </c>
      <c r="K80" t="s">
        <v>39</v>
      </c>
      <c r="L80" t="s">
        <v>31</v>
      </c>
    </row>
    <row r="81" spans="1:12" x14ac:dyDescent="0.3">
      <c r="A81" t="s">
        <v>173</v>
      </c>
      <c r="B81" t="s">
        <v>165</v>
      </c>
      <c r="C81" t="s">
        <v>25</v>
      </c>
      <c r="D81" t="s">
        <v>61</v>
      </c>
      <c r="E81" t="s">
        <v>62</v>
      </c>
      <c r="F81" t="s">
        <v>52</v>
      </c>
      <c r="H81" t="s">
        <v>37</v>
      </c>
      <c r="J81" t="s">
        <v>20</v>
      </c>
      <c r="K81" t="s">
        <v>21</v>
      </c>
      <c r="L81" t="s">
        <v>22</v>
      </c>
    </row>
    <row r="82" spans="1:12" x14ac:dyDescent="0.3">
      <c r="A82" t="s">
        <v>174</v>
      </c>
      <c r="B82" t="s">
        <v>114</v>
      </c>
      <c r="C82" t="s">
        <v>60</v>
      </c>
      <c r="D82" t="s">
        <v>50</v>
      </c>
      <c r="E82" t="s">
        <v>51</v>
      </c>
      <c r="F82" t="s">
        <v>53</v>
      </c>
      <c r="H82" t="s">
        <v>37</v>
      </c>
      <c r="J82" t="s">
        <v>38</v>
      </c>
      <c r="K82" t="s">
        <v>21</v>
      </c>
      <c r="L82" t="s">
        <v>22</v>
      </c>
    </row>
    <row r="83" spans="1:12" x14ac:dyDescent="0.3">
      <c r="A83" t="s">
        <v>175</v>
      </c>
      <c r="B83" t="s">
        <v>118</v>
      </c>
      <c r="C83" t="s">
        <v>60</v>
      </c>
      <c r="D83" t="s">
        <v>61</v>
      </c>
      <c r="E83" t="s">
        <v>62</v>
      </c>
      <c r="F83" t="s">
        <v>111</v>
      </c>
      <c r="G83" t="s">
        <v>122</v>
      </c>
      <c r="H83" t="s">
        <v>19</v>
      </c>
      <c r="I83">
        <v>85</v>
      </c>
      <c r="J83" t="s">
        <v>38</v>
      </c>
      <c r="K83" t="s">
        <v>30</v>
      </c>
      <c r="L83" t="s">
        <v>22</v>
      </c>
    </row>
    <row r="84" spans="1:12" x14ac:dyDescent="0.3">
      <c r="A84" t="s">
        <v>176</v>
      </c>
      <c r="B84" t="s">
        <v>114</v>
      </c>
      <c r="C84" t="s">
        <v>42</v>
      </c>
      <c r="D84" t="s">
        <v>50</v>
      </c>
      <c r="E84" t="s">
        <v>51</v>
      </c>
      <c r="F84" t="s">
        <v>66</v>
      </c>
      <c r="H84" t="s">
        <v>37</v>
      </c>
      <c r="J84" t="s">
        <v>38</v>
      </c>
      <c r="K84" t="s">
        <v>21</v>
      </c>
      <c r="L84" t="s">
        <v>22</v>
      </c>
    </row>
    <row r="85" spans="1:12" x14ac:dyDescent="0.3">
      <c r="A85" t="s">
        <v>177</v>
      </c>
      <c r="B85" t="s">
        <v>24</v>
      </c>
      <c r="C85" t="s">
        <v>14</v>
      </c>
      <c r="D85" t="s">
        <v>15</v>
      </c>
      <c r="E85" t="s">
        <v>16</v>
      </c>
      <c r="F85" t="s">
        <v>111</v>
      </c>
      <c r="G85" t="s">
        <v>77</v>
      </c>
      <c r="H85" t="s">
        <v>19</v>
      </c>
      <c r="I85">
        <v>91</v>
      </c>
      <c r="J85" t="s">
        <v>47</v>
      </c>
      <c r="K85" t="s">
        <v>30</v>
      </c>
      <c r="L85" t="s">
        <v>22</v>
      </c>
    </row>
    <row r="86" spans="1:12" x14ac:dyDescent="0.3">
      <c r="A86" t="s">
        <v>178</v>
      </c>
      <c r="B86" t="s">
        <v>163</v>
      </c>
      <c r="C86" t="s">
        <v>25</v>
      </c>
      <c r="D86" t="s">
        <v>34</v>
      </c>
      <c r="E86" t="s">
        <v>35</v>
      </c>
      <c r="F86" t="s">
        <v>104</v>
      </c>
      <c r="H86" t="s">
        <v>29</v>
      </c>
      <c r="J86" t="s">
        <v>38</v>
      </c>
      <c r="K86" t="s">
        <v>67</v>
      </c>
      <c r="L86" t="s">
        <v>31</v>
      </c>
    </row>
    <row r="87" spans="1:12" x14ac:dyDescent="0.3">
      <c r="A87" t="s">
        <v>179</v>
      </c>
      <c r="B87" t="s">
        <v>163</v>
      </c>
      <c r="C87" t="s">
        <v>42</v>
      </c>
      <c r="D87" t="s">
        <v>50</v>
      </c>
      <c r="E87" t="s">
        <v>51</v>
      </c>
      <c r="F87" t="s">
        <v>57</v>
      </c>
      <c r="G87" t="s">
        <v>43</v>
      </c>
      <c r="H87" t="s">
        <v>19</v>
      </c>
      <c r="I87">
        <v>82</v>
      </c>
      <c r="J87" t="s">
        <v>20</v>
      </c>
      <c r="K87" t="s">
        <v>39</v>
      </c>
      <c r="L87" t="s">
        <v>22</v>
      </c>
    </row>
    <row r="88" spans="1:12" x14ac:dyDescent="0.3">
      <c r="A88" t="s">
        <v>180</v>
      </c>
      <c r="B88" t="s">
        <v>140</v>
      </c>
      <c r="C88" t="s">
        <v>42</v>
      </c>
      <c r="D88" t="s">
        <v>88</v>
      </c>
      <c r="E88" t="s">
        <v>89</v>
      </c>
      <c r="F88" t="s">
        <v>36</v>
      </c>
      <c r="G88" t="s">
        <v>57</v>
      </c>
      <c r="H88" t="s">
        <v>19</v>
      </c>
      <c r="I88">
        <v>86</v>
      </c>
      <c r="J88" t="s">
        <v>20</v>
      </c>
      <c r="K88" t="s">
        <v>67</v>
      </c>
      <c r="L88" t="s">
        <v>22</v>
      </c>
    </row>
    <row r="89" spans="1:12" x14ac:dyDescent="0.3">
      <c r="A89" t="s">
        <v>181</v>
      </c>
      <c r="B89" t="s">
        <v>135</v>
      </c>
      <c r="C89" t="s">
        <v>56</v>
      </c>
      <c r="D89" t="s">
        <v>26</v>
      </c>
      <c r="E89" t="s">
        <v>27</v>
      </c>
      <c r="F89" t="s">
        <v>77</v>
      </c>
      <c r="H89" t="s">
        <v>37</v>
      </c>
      <c r="J89" t="s">
        <v>20</v>
      </c>
      <c r="K89" t="s">
        <v>58</v>
      </c>
      <c r="L89" t="s">
        <v>22</v>
      </c>
    </row>
    <row r="90" spans="1:12" x14ac:dyDescent="0.3">
      <c r="A90" t="s">
        <v>182</v>
      </c>
      <c r="B90" t="s">
        <v>114</v>
      </c>
      <c r="C90" t="s">
        <v>14</v>
      </c>
      <c r="D90" t="s">
        <v>88</v>
      </c>
      <c r="E90" t="s">
        <v>89</v>
      </c>
      <c r="F90" t="s">
        <v>17</v>
      </c>
      <c r="H90" t="s">
        <v>29</v>
      </c>
      <c r="J90" t="s">
        <v>20</v>
      </c>
      <c r="K90" t="s">
        <v>39</v>
      </c>
      <c r="L90" t="s">
        <v>31</v>
      </c>
    </row>
    <row r="91" spans="1:12" x14ac:dyDescent="0.3">
      <c r="A91" t="s">
        <v>183</v>
      </c>
      <c r="B91" t="s">
        <v>84</v>
      </c>
      <c r="C91" t="s">
        <v>25</v>
      </c>
      <c r="D91" t="s">
        <v>50</v>
      </c>
      <c r="E91" t="s">
        <v>51</v>
      </c>
      <c r="F91" t="s">
        <v>184</v>
      </c>
      <c r="H91" t="s">
        <v>37</v>
      </c>
      <c r="J91" t="s">
        <v>20</v>
      </c>
      <c r="K91" t="s">
        <v>67</v>
      </c>
      <c r="L91" t="s">
        <v>22</v>
      </c>
    </row>
    <row r="92" spans="1:12" x14ac:dyDescent="0.3">
      <c r="A92" t="s">
        <v>185</v>
      </c>
      <c r="B92" t="s">
        <v>84</v>
      </c>
      <c r="C92" t="s">
        <v>42</v>
      </c>
      <c r="D92" t="s">
        <v>50</v>
      </c>
      <c r="E92" t="s">
        <v>51</v>
      </c>
      <c r="F92" t="s">
        <v>57</v>
      </c>
      <c r="H92" t="s">
        <v>29</v>
      </c>
      <c r="J92" t="s">
        <v>47</v>
      </c>
      <c r="K92" t="s">
        <v>21</v>
      </c>
      <c r="L92" t="s">
        <v>31</v>
      </c>
    </row>
    <row r="93" spans="1:12" x14ac:dyDescent="0.3">
      <c r="A93" t="s">
        <v>186</v>
      </c>
      <c r="B93" t="s">
        <v>49</v>
      </c>
      <c r="C93" t="s">
        <v>42</v>
      </c>
      <c r="D93" t="s">
        <v>88</v>
      </c>
      <c r="E93" t="s">
        <v>89</v>
      </c>
      <c r="F93" t="s">
        <v>36</v>
      </c>
      <c r="G93" t="s">
        <v>57</v>
      </c>
      <c r="H93" t="s">
        <v>19</v>
      </c>
      <c r="I93">
        <v>92</v>
      </c>
      <c r="J93" t="s">
        <v>47</v>
      </c>
      <c r="K93" t="s">
        <v>58</v>
      </c>
      <c r="L93" t="s">
        <v>22</v>
      </c>
    </row>
    <row r="94" spans="1:12" x14ac:dyDescent="0.3">
      <c r="A94" t="s">
        <v>187</v>
      </c>
      <c r="B94" t="s">
        <v>94</v>
      </c>
      <c r="C94" t="s">
        <v>14</v>
      </c>
      <c r="D94" t="s">
        <v>50</v>
      </c>
      <c r="E94" t="s">
        <v>51</v>
      </c>
      <c r="F94" t="s">
        <v>46</v>
      </c>
      <c r="H94" t="s">
        <v>37</v>
      </c>
      <c r="J94" t="s">
        <v>20</v>
      </c>
      <c r="K94" t="s">
        <v>21</v>
      </c>
      <c r="L94" t="s">
        <v>22</v>
      </c>
    </row>
    <row r="95" spans="1:12" x14ac:dyDescent="0.3">
      <c r="A95" t="s">
        <v>188</v>
      </c>
      <c r="B95" t="s">
        <v>81</v>
      </c>
      <c r="C95" t="s">
        <v>14</v>
      </c>
      <c r="D95" t="s">
        <v>88</v>
      </c>
      <c r="E95" t="s">
        <v>89</v>
      </c>
      <c r="F95" t="s">
        <v>111</v>
      </c>
      <c r="H95" t="s">
        <v>37</v>
      </c>
      <c r="J95" t="s">
        <v>47</v>
      </c>
      <c r="K95" t="s">
        <v>58</v>
      </c>
      <c r="L95" t="s">
        <v>22</v>
      </c>
    </row>
    <row r="96" spans="1:12" x14ac:dyDescent="0.3">
      <c r="A96" t="s">
        <v>189</v>
      </c>
      <c r="B96" t="s">
        <v>84</v>
      </c>
      <c r="C96" t="s">
        <v>25</v>
      </c>
      <c r="D96" t="s">
        <v>15</v>
      </c>
      <c r="E96" t="s">
        <v>16</v>
      </c>
      <c r="F96" t="s">
        <v>85</v>
      </c>
      <c r="G96" t="s">
        <v>53</v>
      </c>
      <c r="H96" t="s">
        <v>19</v>
      </c>
      <c r="I96">
        <v>82</v>
      </c>
      <c r="J96" t="s">
        <v>20</v>
      </c>
      <c r="K96" t="s">
        <v>30</v>
      </c>
      <c r="L96" t="s">
        <v>22</v>
      </c>
    </row>
    <row r="97" spans="1:12" x14ac:dyDescent="0.3">
      <c r="A97" t="s">
        <v>190</v>
      </c>
      <c r="B97" t="s">
        <v>75</v>
      </c>
      <c r="C97" t="s">
        <v>56</v>
      </c>
      <c r="D97" t="s">
        <v>26</v>
      </c>
      <c r="E97" t="s">
        <v>27</v>
      </c>
      <c r="F97" t="s">
        <v>85</v>
      </c>
      <c r="H97" t="s">
        <v>37</v>
      </c>
      <c r="J97" t="s">
        <v>47</v>
      </c>
      <c r="K97" t="s">
        <v>58</v>
      </c>
      <c r="L97" t="s">
        <v>22</v>
      </c>
    </row>
    <row r="98" spans="1:12" x14ac:dyDescent="0.3">
      <c r="A98" t="s">
        <v>191</v>
      </c>
      <c r="B98" t="s">
        <v>73</v>
      </c>
      <c r="C98" t="s">
        <v>60</v>
      </c>
      <c r="D98" t="s">
        <v>88</v>
      </c>
      <c r="E98" t="s">
        <v>89</v>
      </c>
      <c r="F98" t="s">
        <v>70</v>
      </c>
      <c r="H98" t="s">
        <v>29</v>
      </c>
      <c r="J98" t="s">
        <v>38</v>
      </c>
      <c r="K98" t="s">
        <v>67</v>
      </c>
      <c r="L98" t="s">
        <v>31</v>
      </c>
    </row>
    <row r="99" spans="1:12" x14ac:dyDescent="0.3">
      <c r="A99" t="s">
        <v>192</v>
      </c>
      <c r="B99" t="s">
        <v>13</v>
      </c>
      <c r="C99" t="s">
        <v>56</v>
      </c>
      <c r="D99" t="s">
        <v>34</v>
      </c>
      <c r="E99" t="s">
        <v>35</v>
      </c>
      <c r="F99" t="s">
        <v>111</v>
      </c>
      <c r="G99" t="s">
        <v>82</v>
      </c>
      <c r="H99" t="s">
        <v>19</v>
      </c>
      <c r="I99">
        <v>84</v>
      </c>
      <c r="J99" t="s">
        <v>38</v>
      </c>
      <c r="K99" t="s">
        <v>58</v>
      </c>
      <c r="L99" t="s">
        <v>22</v>
      </c>
    </row>
    <row r="100" spans="1:12" x14ac:dyDescent="0.3">
      <c r="A100" t="s">
        <v>193</v>
      </c>
      <c r="B100" t="s">
        <v>41</v>
      </c>
      <c r="C100" t="s">
        <v>56</v>
      </c>
      <c r="D100" t="s">
        <v>50</v>
      </c>
      <c r="E100" t="s">
        <v>51</v>
      </c>
      <c r="F100" t="s">
        <v>18</v>
      </c>
      <c r="G100" t="s">
        <v>91</v>
      </c>
      <c r="H100" t="s">
        <v>19</v>
      </c>
      <c r="I100">
        <v>86</v>
      </c>
      <c r="J100" t="s">
        <v>47</v>
      </c>
      <c r="K100" t="s">
        <v>67</v>
      </c>
      <c r="L100" t="s">
        <v>22</v>
      </c>
    </row>
    <row r="101" spans="1:12" x14ac:dyDescent="0.3">
      <c r="A101" t="s">
        <v>194</v>
      </c>
      <c r="B101" t="s">
        <v>13</v>
      </c>
      <c r="C101" t="s">
        <v>56</v>
      </c>
      <c r="D101" t="s">
        <v>26</v>
      </c>
      <c r="E101" t="s">
        <v>27</v>
      </c>
      <c r="F101" t="s">
        <v>133</v>
      </c>
      <c r="G101" t="s">
        <v>66</v>
      </c>
      <c r="H101" t="s">
        <v>19</v>
      </c>
      <c r="I101">
        <v>79</v>
      </c>
      <c r="J101" t="s">
        <v>38</v>
      </c>
      <c r="K101" t="s">
        <v>58</v>
      </c>
      <c r="L101" t="s">
        <v>22</v>
      </c>
    </row>
    <row r="102" spans="1:12" x14ac:dyDescent="0.3">
      <c r="A102" t="s">
        <v>195</v>
      </c>
      <c r="B102" t="s">
        <v>55</v>
      </c>
      <c r="C102" t="s">
        <v>56</v>
      </c>
      <c r="D102" t="s">
        <v>61</v>
      </c>
      <c r="E102" t="s">
        <v>62</v>
      </c>
      <c r="F102" t="s">
        <v>63</v>
      </c>
      <c r="G102" t="s">
        <v>79</v>
      </c>
      <c r="H102" t="s">
        <v>19</v>
      </c>
      <c r="I102">
        <v>86</v>
      </c>
      <c r="J102" t="s">
        <v>38</v>
      </c>
      <c r="K102" t="s">
        <v>39</v>
      </c>
      <c r="L102" t="s">
        <v>22</v>
      </c>
    </row>
    <row r="103" spans="1:12" x14ac:dyDescent="0.3">
      <c r="A103" t="s">
        <v>196</v>
      </c>
      <c r="B103" t="s">
        <v>135</v>
      </c>
      <c r="C103" t="s">
        <v>25</v>
      </c>
      <c r="D103" t="s">
        <v>26</v>
      </c>
      <c r="E103" t="s">
        <v>27</v>
      </c>
      <c r="F103" t="s">
        <v>71</v>
      </c>
      <c r="G103" t="s">
        <v>17</v>
      </c>
      <c r="H103" t="s">
        <v>19</v>
      </c>
      <c r="I103">
        <v>70</v>
      </c>
      <c r="J103" t="s">
        <v>47</v>
      </c>
      <c r="K103" t="s">
        <v>39</v>
      </c>
      <c r="L103" t="s">
        <v>22</v>
      </c>
    </row>
    <row r="104" spans="1:12" x14ac:dyDescent="0.3">
      <c r="A104" t="s">
        <v>197</v>
      </c>
      <c r="B104" t="s">
        <v>41</v>
      </c>
      <c r="C104" t="s">
        <v>56</v>
      </c>
      <c r="D104" t="s">
        <v>88</v>
      </c>
      <c r="E104" t="s">
        <v>89</v>
      </c>
      <c r="F104" t="s">
        <v>95</v>
      </c>
      <c r="H104" t="s">
        <v>29</v>
      </c>
      <c r="J104" t="s">
        <v>20</v>
      </c>
      <c r="K104" t="s">
        <v>67</v>
      </c>
      <c r="L104" t="s">
        <v>31</v>
      </c>
    </row>
    <row r="105" spans="1:12" x14ac:dyDescent="0.3">
      <c r="A105" t="s">
        <v>198</v>
      </c>
      <c r="B105" t="s">
        <v>81</v>
      </c>
      <c r="C105" t="s">
        <v>42</v>
      </c>
      <c r="D105" t="s">
        <v>61</v>
      </c>
      <c r="E105" t="s">
        <v>62</v>
      </c>
      <c r="F105" t="s">
        <v>122</v>
      </c>
      <c r="G105" t="s">
        <v>85</v>
      </c>
      <c r="H105" t="s">
        <v>19</v>
      </c>
      <c r="I105">
        <v>87</v>
      </c>
      <c r="J105" t="s">
        <v>20</v>
      </c>
      <c r="K105" t="s">
        <v>30</v>
      </c>
      <c r="L105" t="s">
        <v>22</v>
      </c>
    </row>
    <row r="106" spans="1:12" x14ac:dyDescent="0.3">
      <c r="A106" t="s">
        <v>199</v>
      </c>
      <c r="B106" t="s">
        <v>118</v>
      </c>
      <c r="C106" t="s">
        <v>60</v>
      </c>
      <c r="D106" t="s">
        <v>50</v>
      </c>
      <c r="E106" t="s">
        <v>51</v>
      </c>
      <c r="F106" t="s">
        <v>57</v>
      </c>
      <c r="G106" t="s">
        <v>77</v>
      </c>
      <c r="H106" t="s">
        <v>19</v>
      </c>
      <c r="I106">
        <v>73</v>
      </c>
      <c r="J106" t="s">
        <v>47</v>
      </c>
      <c r="K106" t="s">
        <v>39</v>
      </c>
      <c r="L106" t="s">
        <v>22</v>
      </c>
    </row>
    <row r="107" spans="1:12" x14ac:dyDescent="0.3">
      <c r="A107" t="s">
        <v>200</v>
      </c>
      <c r="B107" t="s">
        <v>24</v>
      </c>
      <c r="C107" t="s">
        <v>14</v>
      </c>
      <c r="D107" t="s">
        <v>34</v>
      </c>
      <c r="E107" t="s">
        <v>35</v>
      </c>
      <c r="F107" t="s">
        <v>66</v>
      </c>
      <c r="H107" t="s">
        <v>37</v>
      </c>
      <c r="J107" t="s">
        <v>38</v>
      </c>
      <c r="K107" t="s">
        <v>30</v>
      </c>
      <c r="L107" t="s">
        <v>22</v>
      </c>
    </row>
    <row r="108" spans="1:12" x14ac:dyDescent="0.3">
      <c r="A108" t="s">
        <v>201</v>
      </c>
      <c r="B108" t="s">
        <v>118</v>
      </c>
      <c r="C108" t="s">
        <v>25</v>
      </c>
      <c r="D108" t="s">
        <v>88</v>
      </c>
      <c r="E108" t="s">
        <v>89</v>
      </c>
      <c r="F108" t="s">
        <v>104</v>
      </c>
      <c r="H108" t="s">
        <v>37</v>
      </c>
      <c r="J108" t="s">
        <v>38</v>
      </c>
      <c r="K108" t="s">
        <v>58</v>
      </c>
      <c r="L108" t="s">
        <v>22</v>
      </c>
    </row>
    <row r="109" spans="1:12" x14ac:dyDescent="0.3">
      <c r="A109" t="s">
        <v>202</v>
      </c>
      <c r="B109" t="s">
        <v>165</v>
      </c>
      <c r="C109" t="s">
        <v>56</v>
      </c>
      <c r="D109" t="s">
        <v>26</v>
      </c>
      <c r="E109" t="s">
        <v>27</v>
      </c>
      <c r="F109" t="s">
        <v>122</v>
      </c>
      <c r="H109" t="s">
        <v>37</v>
      </c>
      <c r="J109" t="s">
        <v>47</v>
      </c>
      <c r="K109" t="s">
        <v>58</v>
      </c>
      <c r="L109" t="s">
        <v>22</v>
      </c>
    </row>
    <row r="110" spans="1:12" x14ac:dyDescent="0.3">
      <c r="A110" t="s">
        <v>203</v>
      </c>
      <c r="B110" t="s">
        <v>13</v>
      </c>
      <c r="C110" t="s">
        <v>56</v>
      </c>
      <c r="D110" t="s">
        <v>26</v>
      </c>
      <c r="E110" t="s">
        <v>27</v>
      </c>
      <c r="F110" t="s">
        <v>43</v>
      </c>
      <c r="H110" t="s">
        <v>37</v>
      </c>
      <c r="J110" t="s">
        <v>20</v>
      </c>
      <c r="K110" t="s">
        <v>58</v>
      </c>
      <c r="L110" t="s">
        <v>22</v>
      </c>
    </row>
    <row r="111" spans="1:12" x14ac:dyDescent="0.3">
      <c r="A111" t="s">
        <v>204</v>
      </c>
      <c r="B111" t="s">
        <v>163</v>
      </c>
      <c r="C111" t="s">
        <v>60</v>
      </c>
      <c r="D111" t="s">
        <v>15</v>
      </c>
      <c r="E111" t="s">
        <v>16</v>
      </c>
      <c r="F111" t="s">
        <v>95</v>
      </c>
      <c r="G111" t="s">
        <v>28</v>
      </c>
      <c r="H111" t="s">
        <v>19</v>
      </c>
      <c r="I111">
        <v>83</v>
      </c>
      <c r="J111" t="s">
        <v>20</v>
      </c>
      <c r="K111" t="s">
        <v>67</v>
      </c>
      <c r="L111" t="s">
        <v>22</v>
      </c>
    </row>
    <row r="112" spans="1:12" x14ac:dyDescent="0.3">
      <c r="A112" t="s">
        <v>205</v>
      </c>
      <c r="B112" t="s">
        <v>41</v>
      </c>
      <c r="C112" t="s">
        <v>25</v>
      </c>
      <c r="D112" t="s">
        <v>88</v>
      </c>
      <c r="E112" t="s">
        <v>89</v>
      </c>
      <c r="F112" t="s">
        <v>63</v>
      </c>
      <c r="H112" t="s">
        <v>37</v>
      </c>
      <c r="J112" t="s">
        <v>38</v>
      </c>
      <c r="K112" t="s">
        <v>67</v>
      </c>
      <c r="L112" t="s">
        <v>22</v>
      </c>
    </row>
    <row r="113" spans="1:12" x14ac:dyDescent="0.3">
      <c r="A113" t="s">
        <v>206</v>
      </c>
      <c r="B113" t="s">
        <v>33</v>
      </c>
      <c r="C113" t="s">
        <v>14</v>
      </c>
      <c r="D113" t="s">
        <v>61</v>
      </c>
      <c r="E113" t="s">
        <v>62</v>
      </c>
      <c r="F113" t="s">
        <v>107</v>
      </c>
      <c r="H113" t="s">
        <v>37</v>
      </c>
      <c r="J113" t="s">
        <v>47</v>
      </c>
      <c r="K113" t="s">
        <v>39</v>
      </c>
      <c r="L113" t="s">
        <v>22</v>
      </c>
    </row>
    <row r="114" spans="1:12" x14ac:dyDescent="0.3">
      <c r="A114" t="s">
        <v>207</v>
      </c>
      <c r="B114" t="s">
        <v>94</v>
      </c>
      <c r="C114" t="s">
        <v>45</v>
      </c>
      <c r="D114" t="s">
        <v>88</v>
      </c>
      <c r="E114" t="s">
        <v>89</v>
      </c>
      <c r="F114" t="s">
        <v>100</v>
      </c>
      <c r="G114" t="s">
        <v>101</v>
      </c>
      <c r="H114" t="s">
        <v>19</v>
      </c>
      <c r="I114">
        <v>88</v>
      </c>
      <c r="J114" t="s">
        <v>20</v>
      </c>
      <c r="K114" t="s">
        <v>39</v>
      </c>
      <c r="L114" t="s">
        <v>22</v>
      </c>
    </row>
    <row r="115" spans="1:12" x14ac:dyDescent="0.3">
      <c r="A115" t="s">
        <v>208</v>
      </c>
      <c r="B115" t="s">
        <v>81</v>
      </c>
      <c r="C115" t="s">
        <v>60</v>
      </c>
      <c r="D115" t="s">
        <v>50</v>
      </c>
      <c r="E115" t="s">
        <v>51</v>
      </c>
      <c r="F115" t="s">
        <v>122</v>
      </c>
      <c r="G115" t="s">
        <v>43</v>
      </c>
      <c r="H115" t="s">
        <v>19</v>
      </c>
      <c r="I115">
        <v>90</v>
      </c>
      <c r="J115" t="s">
        <v>38</v>
      </c>
      <c r="K115" t="s">
        <v>21</v>
      </c>
      <c r="L115" t="s">
        <v>22</v>
      </c>
    </row>
    <row r="116" spans="1:12" x14ac:dyDescent="0.3">
      <c r="A116" t="s">
        <v>209</v>
      </c>
      <c r="B116" t="s">
        <v>81</v>
      </c>
      <c r="C116" t="s">
        <v>45</v>
      </c>
      <c r="D116" t="s">
        <v>50</v>
      </c>
      <c r="E116" t="s">
        <v>51</v>
      </c>
      <c r="F116" t="s">
        <v>17</v>
      </c>
      <c r="G116" t="s">
        <v>128</v>
      </c>
      <c r="H116" t="s">
        <v>19</v>
      </c>
      <c r="I116">
        <v>87</v>
      </c>
      <c r="J116" t="s">
        <v>47</v>
      </c>
      <c r="K116" t="s">
        <v>58</v>
      </c>
      <c r="L116" t="s">
        <v>22</v>
      </c>
    </row>
    <row r="117" spans="1:12" x14ac:dyDescent="0.3">
      <c r="A117" t="s">
        <v>210</v>
      </c>
      <c r="B117" t="s">
        <v>33</v>
      </c>
      <c r="C117" t="s">
        <v>42</v>
      </c>
      <c r="D117" t="s">
        <v>88</v>
      </c>
      <c r="E117" t="s">
        <v>89</v>
      </c>
      <c r="F117" t="s">
        <v>46</v>
      </c>
      <c r="H117" t="s">
        <v>29</v>
      </c>
      <c r="J117" t="s">
        <v>47</v>
      </c>
      <c r="K117" t="s">
        <v>67</v>
      </c>
      <c r="L117" t="s">
        <v>31</v>
      </c>
    </row>
    <row r="118" spans="1:12" x14ac:dyDescent="0.3">
      <c r="A118" t="s">
        <v>211</v>
      </c>
      <c r="B118" t="s">
        <v>114</v>
      </c>
      <c r="C118" t="s">
        <v>25</v>
      </c>
      <c r="D118" t="s">
        <v>34</v>
      </c>
      <c r="E118" t="s">
        <v>35</v>
      </c>
      <c r="F118" t="s">
        <v>184</v>
      </c>
      <c r="G118" t="s">
        <v>63</v>
      </c>
      <c r="H118" t="s">
        <v>19</v>
      </c>
      <c r="I118">
        <v>80</v>
      </c>
      <c r="J118" t="s">
        <v>20</v>
      </c>
      <c r="K118" t="s">
        <v>67</v>
      </c>
      <c r="L118" t="s">
        <v>22</v>
      </c>
    </row>
    <row r="119" spans="1:12" x14ac:dyDescent="0.3">
      <c r="A119" t="s">
        <v>212</v>
      </c>
      <c r="B119" t="s">
        <v>94</v>
      </c>
      <c r="C119" t="s">
        <v>60</v>
      </c>
      <c r="D119" t="s">
        <v>26</v>
      </c>
      <c r="E119" t="s">
        <v>27</v>
      </c>
      <c r="F119" t="s">
        <v>18</v>
      </c>
      <c r="H119" t="s">
        <v>37</v>
      </c>
      <c r="J119" t="s">
        <v>20</v>
      </c>
      <c r="K119" t="s">
        <v>39</v>
      </c>
      <c r="L119" t="s">
        <v>22</v>
      </c>
    </row>
    <row r="120" spans="1:12" x14ac:dyDescent="0.3">
      <c r="A120" t="s">
        <v>213</v>
      </c>
      <c r="B120" t="s">
        <v>118</v>
      </c>
      <c r="C120" t="s">
        <v>60</v>
      </c>
      <c r="D120" t="s">
        <v>15</v>
      </c>
      <c r="E120" t="s">
        <v>16</v>
      </c>
      <c r="F120" t="s">
        <v>18</v>
      </c>
      <c r="H120" t="s">
        <v>37</v>
      </c>
      <c r="J120" t="s">
        <v>20</v>
      </c>
      <c r="K120" t="s">
        <v>30</v>
      </c>
      <c r="L120" t="s">
        <v>22</v>
      </c>
    </row>
    <row r="121" spans="1:12" x14ac:dyDescent="0.3">
      <c r="A121" t="s">
        <v>214</v>
      </c>
      <c r="B121" t="s">
        <v>94</v>
      </c>
      <c r="C121" t="s">
        <v>14</v>
      </c>
      <c r="D121" t="s">
        <v>15</v>
      </c>
      <c r="E121" t="s">
        <v>16</v>
      </c>
      <c r="F121" t="s">
        <v>17</v>
      </c>
      <c r="H121" t="s">
        <v>29</v>
      </c>
      <c r="J121" t="s">
        <v>20</v>
      </c>
      <c r="K121" t="s">
        <v>39</v>
      </c>
      <c r="L121" t="s">
        <v>31</v>
      </c>
    </row>
    <row r="122" spans="1:12" x14ac:dyDescent="0.3">
      <c r="A122" t="s">
        <v>215</v>
      </c>
      <c r="B122" t="s">
        <v>81</v>
      </c>
      <c r="C122" t="s">
        <v>14</v>
      </c>
      <c r="D122" t="s">
        <v>50</v>
      </c>
      <c r="E122" t="s">
        <v>51</v>
      </c>
      <c r="F122" t="s">
        <v>95</v>
      </c>
      <c r="H122" t="s">
        <v>37</v>
      </c>
      <c r="J122" t="s">
        <v>20</v>
      </c>
      <c r="K122" t="s">
        <v>39</v>
      </c>
      <c r="L122" t="s">
        <v>22</v>
      </c>
    </row>
    <row r="123" spans="1:12" x14ac:dyDescent="0.3">
      <c r="A123" t="s">
        <v>216</v>
      </c>
      <c r="B123" t="s">
        <v>114</v>
      </c>
      <c r="C123" t="s">
        <v>56</v>
      </c>
      <c r="D123" t="s">
        <v>15</v>
      </c>
      <c r="E123" t="s">
        <v>16</v>
      </c>
      <c r="F123" t="s">
        <v>66</v>
      </c>
      <c r="H123" t="s">
        <v>37</v>
      </c>
      <c r="J123" t="s">
        <v>38</v>
      </c>
      <c r="K123" t="s">
        <v>39</v>
      </c>
      <c r="L123" t="s">
        <v>22</v>
      </c>
    </row>
    <row r="124" spans="1:12" x14ac:dyDescent="0.3">
      <c r="A124" t="s">
        <v>217</v>
      </c>
      <c r="B124" t="s">
        <v>55</v>
      </c>
      <c r="C124" t="s">
        <v>42</v>
      </c>
      <c r="D124" t="s">
        <v>61</v>
      </c>
      <c r="E124" t="s">
        <v>62</v>
      </c>
      <c r="F124" t="s">
        <v>184</v>
      </c>
      <c r="H124" t="s">
        <v>29</v>
      </c>
      <c r="J124" t="s">
        <v>38</v>
      </c>
      <c r="K124" t="s">
        <v>30</v>
      </c>
      <c r="L124" t="s">
        <v>31</v>
      </c>
    </row>
    <row r="125" spans="1:12" x14ac:dyDescent="0.3">
      <c r="A125" t="s">
        <v>218</v>
      </c>
      <c r="B125" t="s">
        <v>75</v>
      </c>
      <c r="C125" t="s">
        <v>45</v>
      </c>
      <c r="D125" t="s">
        <v>15</v>
      </c>
      <c r="E125" t="s">
        <v>16</v>
      </c>
      <c r="F125" t="s">
        <v>70</v>
      </c>
      <c r="G125" t="s">
        <v>82</v>
      </c>
      <c r="H125" t="s">
        <v>19</v>
      </c>
      <c r="I125">
        <v>87</v>
      </c>
      <c r="J125" t="s">
        <v>20</v>
      </c>
      <c r="K125" t="s">
        <v>67</v>
      </c>
      <c r="L125" t="s">
        <v>22</v>
      </c>
    </row>
    <row r="126" spans="1:12" x14ac:dyDescent="0.3">
      <c r="A126" t="s">
        <v>219</v>
      </c>
      <c r="B126" t="s">
        <v>94</v>
      </c>
      <c r="C126" t="s">
        <v>25</v>
      </c>
      <c r="D126" t="s">
        <v>61</v>
      </c>
      <c r="E126" t="s">
        <v>62</v>
      </c>
      <c r="F126" t="s">
        <v>184</v>
      </c>
      <c r="G126" t="s">
        <v>63</v>
      </c>
      <c r="H126" t="s">
        <v>19</v>
      </c>
      <c r="I126">
        <v>94</v>
      </c>
      <c r="J126" t="s">
        <v>47</v>
      </c>
      <c r="K126" t="s">
        <v>58</v>
      </c>
      <c r="L126" t="s">
        <v>22</v>
      </c>
    </row>
    <row r="127" spans="1:12" x14ac:dyDescent="0.3">
      <c r="A127" t="s">
        <v>220</v>
      </c>
      <c r="B127" t="s">
        <v>13</v>
      </c>
      <c r="C127" t="s">
        <v>14</v>
      </c>
      <c r="D127" t="s">
        <v>88</v>
      </c>
      <c r="E127" t="s">
        <v>89</v>
      </c>
      <c r="F127" t="s">
        <v>79</v>
      </c>
      <c r="G127" t="s">
        <v>221</v>
      </c>
      <c r="H127" t="s">
        <v>19</v>
      </c>
      <c r="I127">
        <v>80</v>
      </c>
      <c r="J127" t="s">
        <v>47</v>
      </c>
      <c r="K127" t="s">
        <v>30</v>
      </c>
      <c r="L127" t="s">
        <v>22</v>
      </c>
    </row>
    <row r="128" spans="1:12" x14ac:dyDescent="0.3">
      <c r="A128" t="s">
        <v>222</v>
      </c>
      <c r="B128" t="s">
        <v>163</v>
      </c>
      <c r="C128" t="s">
        <v>56</v>
      </c>
      <c r="D128" t="s">
        <v>50</v>
      </c>
      <c r="E128" t="s">
        <v>51</v>
      </c>
      <c r="F128" t="s">
        <v>77</v>
      </c>
      <c r="H128" t="s">
        <v>29</v>
      </c>
      <c r="J128" t="s">
        <v>20</v>
      </c>
      <c r="K128" t="s">
        <v>67</v>
      </c>
      <c r="L128" t="s">
        <v>31</v>
      </c>
    </row>
    <row r="129" spans="1:12" x14ac:dyDescent="0.3">
      <c r="A129" t="s">
        <v>223</v>
      </c>
      <c r="B129" t="s">
        <v>140</v>
      </c>
      <c r="C129" t="s">
        <v>14</v>
      </c>
      <c r="D129" t="s">
        <v>50</v>
      </c>
      <c r="E129" t="s">
        <v>51</v>
      </c>
      <c r="F129" t="s">
        <v>100</v>
      </c>
      <c r="G129" t="s">
        <v>224</v>
      </c>
      <c r="H129" t="s">
        <v>19</v>
      </c>
      <c r="I129">
        <v>76</v>
      </c>
      <c r="J129" t="s">
        <v>47</v>
      </c>
      <c r="K129" t="s">
        <v>39</v>
      </c>
      <c r="L129" t="s">
        <v>22</v>
      </c>
    </row>
    <row r="130" spans="1:12" x14ac:dyDescent="0.3">
      <c r="A130" t="s">
        <v>225</v>
      </c>
      <c r="B130" t="s">
        <v>94</v>
      </c>
      <c r="C130" t="s">
        <v>14</v>
      </c>
      <c r="D130" t="s">
        <v>34</v>
      </c>
      <c r="E130" t="s">
        <v>35</v>
      </c>
      <c r="F130" t="s">
        <v>104</v>
      </c>
      <c r="H130" t="s">
        <v>37</v>
      </c>
      <c r="J130" t="s">
        <v>47</v>
      </c>
      <c r="K130" t="s">
        <v>30</v>
      </c>
      <c r="L130" t="s">
        <v>22</v>
      </c>
    </row>
    <row r="131" spans="1:12" x14ac:dyDescent="0.3">
      <c r="A131" t="s">
        <v>226</v>
      </c>
      <c r="B131" t="s">
        <v>33</v>
      </c>
      <c r="C131" t="s">
        <v>45</v>
      </c>
      <c r="D131" t="s">
        <v>50</v>
      </c>
      <c r="E131" t="s">
        <v>51</v>
      </c>
      <c r="F131" t="s">
        <v>71</v>
      </c>
      <c r="G131" t="s">
        <v>53</v>
      </c>
      <c r="H131" t="s">
        <v>19</v>
      </c>
      <c r="I131">
        <v>95</v>
      </c>
      <c r="J131" t="s">
        <v>47</v>
      </c>
      <c r="K131" t="s">
        <v>39</v>
      </c>
      <c r="L131" t="s">
        <v>22</v>
      </c>
    </row>
    <row r="132" spans="1:12" x14ac:dyDescent="0.3">
      <c r="A132" t="s">
        <v>227</v>
      </c>
      <c r="B132" t="s">
        <v>114</v>
      </c>
      <c r="C132" t="s">
        <v>45</v>
      </c>
      <c r="D132" t="s">
        <v>15</v>
      </c>
      <c r="E132" t="s">
        <v>16</v>
      </c>
      <c r="F132" t="s">
        <v>122</v>
      </c>
      <c r="H132" t="s">
        <v>29</v>
      </c>
      <c r="J132" t="s">
        <v>38</v>
      </c>
      <c r="K132" t="s">
        <v>67</v>
      </c>
      <c r="L132" t="s">
        <v>31</v>
      </c>
    </row>
    <row r="133" spans="1:12" x14ac:dyDescent="0.3">
      <c r="A133" t="s">
        <v>228</v>
      </c>
      <c r="B133" t="s">
        <v>49</v>
      </c>
      <c r="C133" t="s">
        <v>42</v>
      </c>
      <c r="D133" t="s">
        <v>50</v>
      </c>
      <c r="E133" t="s">
        <v>51</v>
      </c>
      <c r="F133" t="s">
        <v>111</v>
      </c>
      <c r="H133" t="s">
        <v>37</v>
      </c>
      <c r="J133" t="s">
        <v>20</v>
      </c>
      <c r="K133" t="s">
        <v>58</v>
      </c>
      <c r="L133" t="s">
        <v>22</v>
      </c>
    </row>
    <row r="134" spans="1:12" x14ac:dyDescent="0.3">
      <c r="A134" t="s">
        <v>229</v>
      </c>
      <c r="B134" t="s">
        <v>99</v>
      </c>
      <c r="C134" t="s">
        <v>42</v>
      </c>
      <c r="D134" t="s">
        <v>34</v>
      </c>
      <c r="E134" t="s">
        <v>35</v>
      </c>
      <c r="F134" t="s">
        <v>82</v>
      </c>
      <c r="G134" t="s">
        <v>104</v>
      </c>
      <c r="H134" t="s">
        <v>19</v>
      </c>
      <c r="I134">
        <v>76</v>
      </c>
      <c r="J134" t="s">
        <v>20</v>
      </c>
      <c r="K134" t="s">
        <v>39</v>
      </c>
      <c r="L134" t="s">
        <v>22</v>
      </c>
    </row>
    <row r="135" spans="1:12" x14ac:dyDescent="0.3">
      <c r="A135" t="s">
        <v>230</v>
      </c>
      <c r="B135" t="s">
        <v>81</v>
      </c>
      <c r="C135" t="s">
        <v>60</v>
      </c>
      <c r="D135" t="s">
        <v>88</v>
      </c>
      <c r="E135" t="s">
        <v>89</v>
      </c>
      <c r="F135" t="s">
        <v>28</v>
      </c>
      <c r="G135" t="s">
        <v>85</v>
      </c>
      <c r="H135" t="s">
        <v>19</v>
      </c>
      <c r="I135">
        <v>95</v>
      </c>
      <c r="J135" t="s">
        <v>38</v>
      </c>
      <c r="K135" t="s">
        <v>21</v>
      </c>
      <c r="L135" t="s">
        <v>22</v>
      </c>
    </row>
    <row r="136" spans="1:12" x14ac:dyDescent="0.3">
      <c r="A136" t="s">
        <v>231</v>
      </c>
      <c r="B136" t="s">
        <v>69</v>
      </c>
      <c r="C136" t="s">
        <v>14</v>
      </c>
      <c r="D136" t="s">
        <v>15</v>
      </c>
      <c r="E136" t="s">
        <v>16</v>
      </c>
      <c r="F136" t="s">
        <v>57</v>
      </c>
      <c r="H136" t="s">
        <v>29</v>
      </c>
      <c r="J136" t="s">
        <v>20</v>
      </c>
      <c r="K136" t="s">
        <v>21</v>
      </c>
      <c r="L136" t="s">
        <v>31</v>
      </c>
    </row>
    <row r="137" spans="1:12" x14ac:dyDescent="0.3">
      <c r="A137" t="s">
        <v>232</v>
      </c>
      <c r="B137" t="s">
        <v>75</v>
      </c>
      <c r="C137" t="s">
        <v>45</v>
      </c>
      <c r="D137" t="s">
        <v>61</v>
      </c>
      <c r="E137" t="s">
        <v>62</v>
      </c>
      <c r="F137" t="s">
        <v>95</v>
      </c>
      <c r="H137" t="s">
        <v>37</v>
      </c>
      <c r="J137" t="s">
        <v>38</v>
      </c>
      <c r="K137" t="s">
        <v>21</v>
      </c>
      <c r="L137" t="s">
        <v>22</v>
      </c>
    </row>
    <row r="138" spans="1:12" x14ac:dyDescent="0.3">
      <c r="A138" t="s">
        <v>233</v>
      </c>
      <c r="B138" t="s">
        <v>24</v>
      </c>
      <c r="C138" t="s">
        <v>56</v>
      </c>
      <c r="D138" t="s">
        <v>50</v>
      </c>
      <c r="E138" t="s">
        <v>51</v>
      </c>
      <c r="F138" t="s">
        <v>77</v>
      </c>
      <c r="H138" t="s">
        <v>29</v>
      </c>
      <c r="J138" t="s">
        <v>20</v>
      </c>
      <c r="K138" t="s">
        <v>67</v>
      </c>
      <c r="L138" t="s">
        <v>31</v>
      </c>
    </row>
    <row r="139" spans="1:12" x14ac:dyDescent="0.3">
      <c r="A139" t="s">
        <v>234</v>
      </c>
      <c r="B139" t="s">
        <v>118</v>
      </c>
      <c r="C139" t="s">
        <v>60</v>
      </c>
      <c r="D139" t="s">
        <v>88</v>
      </c>
      <c r="E139" t="s">
        <v>89</v>
      </c>
      <c r="F139" t="s">
        <v>63</v>
      </c>
      <c r="H139" t="s">
        <v>37</v>
      </c>
      <c r="J139" t="s">
        <v>20</v>
      </c>
      <c r="K139" t="s">
        <v>67</v>
      </c>
      <c r="L139" t="s">
        <v>22</v>
      </c>
    </row>
    <row r="140" spans="1:12" x14ac:dyDescent="0.3">
      <c r="A140" t="s">
        <v>235</v>
      </c>
      <c r="B140" t="s">
        <v>65</v>
      </c>
      <c r="C140" t="s">
        <v>56</v>
      </c>
      <c r="D140" t="s">
        <v>61</v>
      </c>
      <c r="E140" t="s">
        <v>62</v>
      </c>
      <c r="F140" t="s">
        <v>111</v>
      </c>
      <c r="H140" t="s">
        <v>37</v>
      </c>
      <c r="J140" t="s">
        <v>20</v>
      </c>
      <c r="K140" t="s">
        <v>39</v>
      </c>
      <c r="L140" t="s">
        <v>22</v>
      </c>
    </row>
    <row r="141" spans="1:12" x14ac:dyDescent="0.3">
      <c r="A141" t="s">
        <v>236</v>
      </c>
      <c r="B141" t="s">
        <v>140</v>
      </c>
      <c r="C141" t="s">
        <v>14</v>
      </c>
      <c r="D141" t="s">
        <v>26</v>
      </c>
      <c r="E141" t="s">
        <v>27</v>
      </c>
      <c r="F141" t="s">
        <v>63</v>
      </c>
      <c r="G141" t="s">
        <v>104</v>
      </c>
      <c r="H141" t="s">
        <v>19</v>
      </c>
      <c r="I141">
        <v>86</v>
      </c>
      <c r="J141" t="s">
        <v>20</v>
      </c>
      <c r="K141" t="s">
        <v>67</v>
      </c>
      <c r="L141" t="s">
        <v>22</v>
      </c>
    </row>
    <row r="142" spans="1:12" x14ac:dyDescent="0.3">
      <c r="A142" t="s">
        <v>237</v>
      </c>
      <c r="B142" t="s">
        <v>73</v>
      </c>
      <c r="C142" t="s">
        <v>42</v>
      </c>
      <c r="D142" t="s">
        <v>34</v>
      </c>
      <c r="E142" t="s">
        <v>35</v>
      </c>
      <c r="F142" t="s">
        <v>28</v>
      </c>
      <c r="H142" t="s">
        <v>37</v>
      </c>
      <c r="J142" t="s">
        <v>47</v>
      </c>
      <c r="K142" t="s">
        <v>30</v>
      </c>
      <c r="L142" t="s">
        <v>22</v>
      </c>
    </row>
    <row r="143" spans="1:12" x14ac:dyDescent="0.3">
      <c r="A143" t="s">
        <v>238</v>
      </c>
      <c r="B143" t="s">
        <v>99</v>
      </c>
      <c r="C143" t="s">
        <v>45</v>
      </c>
      <c r="D143" t="s">
        <v>88</v>
      </c>
      <c r="E143" t="s">
        <v>89</v>
      </c>
      <c r="F143" t="s">
        <v>28</v>
      </c>
      <c r="H143" t="s">
        <v>29</v>
      </c>
      <c r="J143" t="s">
        <v>38</v>
      </c>
      <c r="K143" t="s">
        <v>67</v>
      </c>
      <c r="L143" t="s">
        <v>31</v>
      </c>
    </row>
    <row r="144" spans="1:12" x14ac:dyDescent="0.3">
      <c r="A144" t="s">
        <v>239</v>
      </c>
      <c r="B144" t="s">
        <v>75</v>
      </c>
      <c r="C144" t="s">
        <v>14</v>
      </c>
      <c r="D144" t="s">
        <v>15</v>
      </c>
      <c r="E144" t="s">
        <v>16</v>
      </c>
      <c r="F144" t="s">
        <v>70</v>
      </c>
      <c r="H144" t="s">
        <v>37</v>
      </c>
      <c r="J144" t="s">
        <v>47</v>
      </c>
      <c r="K144" t="s">
        <v>67</v>
      </c>
      <c r="L144" t="s">
        <v>22</v>
      </c>
    </row>
    <row r="145" spans="1:12" x14ac:dyDescent="0.3">
      <c r="A145" t="s">
        <v>240</v>
      </c>
      <c r="B145" t="s">
        <v>33</v>
      </c>
      <c r="C145" t="s">
        <v>45</v>
      </c>
      <c r="D145" t="s">
        <v>50</v>
      </c>
      <c r="E145" t="s">
        <v>51</v>
      </c>
      <c r="F145" t="s">
        <v>71</v>
      </c>
      <c r="G145" t="s">
        <v>85</v>
      </c>
      <c r="H145" t="s">
        <v>19</v>
      </c>
      <c r="I145">
        <v>75</v>
      </c>
      <c r="J145" t="s">
        <v>47</v>
      </c>
      <c r="K145" t="s">
        <v>67</v>
      </c>
      <c r="L145" t="s">
        <v>22</v>
      </c>
    </row>
    <row r="146" spans="1:12" x14ac:dyDescent="0.3">
      <c r="A146" t="s">
        <v>241</v>
      </c>
      <c r="B146" t="s">
        <v>73</v>
      </c>
      <c r="C146" t="s">
        <v>25</v>
      </c>
      <c r="D146" t="s">
        <v>50</v>
      </c>
      <c r="E146" t="s">
        <v>51</v>
      </c>
      <c r="F146" t="s">
        <v>43</v>
      </c>
      <c r="H146" t="s">
        <v>29</v>
      </c>
      <c r="J146" t="s">
        <v>47</v>
      </c>
      <c r="K146" t="s">
        <v>67</v>
      </c>
      <c r="L146" t="s">
        <v>31</v>
      </c>
    </row>
    <row r="147" spans="1:12" x14ac:dyDescent="0.3">
      <c r="A147" t="s">
        <v>242</v>
      </c>
      <c r="B147" t="s">
        <v>165</v>
      </c>
      <c r="C147" t="s">
        <v>25</v>
      </c>
      <c r="D147" t="s">
        <v>50</v>
      </c>
      <c r="E147" t="s">
        <v>51</v>
      </c>
      <c r="F147" t="s">
        <v>133</v>
      </c>
      <c r="H147" t="s">
        <v>37</v>
      </c>
      <c r="J147" t="s">
        <v>38</v>
      </c>
      <c r="K147" t="s">
        <v>58</v>
      </c>
      <c r="L147" t="s">
        <v>22</v>
      </c>
    </row>
    <row r="148" spans="1:12" x14ac:dyDescent="0.3">
      <c r="A148" t="s">
        <v>243</v>
      </c>
      <c r="B148" t="s">
        <v>65</v>
      </c>
      <c r="C148" t="s">
        <v>60</v>
      </c>
      <c r="D148" t="s">
        <v>26</v>
      </c>
      <c r="E148" t="s">
        <v>27</v>
      </c>
      <c r="F148" t="s">
        <v>104</v>
      </c>
      <c r="H148" t="s">
        <v>29</v>
      </c>
      <c r="J148" t="s">
        <v>47</v>
      </c>
      <c r="K148" t="s">
        <v>67</v>
      </c>
      <c r="L148" t="s">
        <v>31</v>
      </c>
    </row>
    <row r="149" spans="1:12" x14ac:dyDescent="0.3">
      <c r="A149" t="s">
        <v>244</v>
      </c>
      <c r="B149" t="s">
        <v>81</v>
      </c>
      <c r="C149" t="s">
        <v>42</v>
      </c>
      <c r="D149" t="s">
        <v>88</v>
      </c>
      <c r="E149" t="s">
        <v>89</v>
      </c>
      <c r="F149" t="s">
        <v>85</v>
      </c>
      <c r="G149" t="s">
        <v>143</v>
      </c>
      <c r="H149" t="s">
        <v>19</v>
      </c>
      <c r="I149">
        <v>92</v>
      </c>
      <c r="J149" t="s">
        <v>20</v>
      </c>
      <c r="K149" t="s">
        <v>39</v>
      </c>
      <c r="L149" t="s">
        <v>22</v>
      </c>
    </row>
    <row r="150" spans="1:12" x14ac:dyDescent="0.3">
      <c r="A150" t="s">
        <v>245</v>
      </c>
      <c r="B150" t="s">
        <v>65</v>
      </c>
      <c r="C150" t="s">
        <v>42</v>
      </c>
      <c r="D150" t="s">
        <v>61</v>
      </c>
      <c r="E150" t="s">
        <v>62</v>
      </c>
      <c r="F150" t="s">
        <v>46</v>
      </c>
      <c r="G150" t="s">
        <v>18</v>
      </c>
      <c r="H150" t="s">
        <v>19</v>
      </c>
      <c r="I150">
        <v>72</v>
      </c>
      <c r="J150" t="s">
        <v>20</v>
      </c>
      <c r="K150" t="s">
        <v>67</v>
      </c>
      <c r="L150" t="s">
        <v>22</v>
      </c>
    </row>
    <row r="151" spans="1:12" x14ac:dyDescent="0.3">
      <c r="A151" t="s">
        <v>246</v>
      </c>
      <c r="B151" t="s">
        <v>165</v>
      </c>
      <c r="C151" t="s">
        <v>45</v>
      </c>
      <c r="D151" t="s">
        <v>34</v>
      </c>
      <c r="E151" t="s">
        <v>35</v>
      </c>
      <c r="F151" t="s">
        <v>184</v>
      </c>
      <c r="H151" t="s">
        <v>37</v>
      </c>
      <c r="J151" t="s">
        <v>47</v>
      </c>
      <c r="K151" t="s">
        <v>67</v>
      </c>
      <c r="L15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0F04-6DAD-4EB9-9F57-829952D1A485}">
  <dimension ref="A1:P151"/>
  <sheetViews>
    <sheetView topLeftCell="L1" workbookViewId="0">
      <selection activeCell="O18" sqref="O18"/>
    </sheetView>
  </sheetViews>
  <sheetFormatPr defaultRowHeight="14.4" x14ac:dyDescent="0.3"/>
  <cols>
    <col min="6" max="6" width="17.33203125" customWidth="1"/>
    <col min="7" max="7" width="15" customWidth="1"/>
    <col min="8" max="8" width="17.5546875" customWidth="1"/>
    <col min="12" max="12" width="15.44140625" customWidth="1"/>
    <col min="13" max="13" width="16.88671875" customWidth="1"/>
    <col min="14" max="14" width="11.109375" customWidth="1"/>
    <col min="15" max="15" width="12.5546875" bestFit="1" customWidth="1"/>
    <col min="16" max="16" width="18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247</v>
      </c>
      <c r="N1" t="s">
        <v>248</v>
      </c>
    </row>
    <row r="2" spans="1:16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94</v>
      </c>
      <c r="J2" t="s">
        <v>20</v>
      </c>
      <c r="K2" t="s">
        <v>21</v>
      </c>
      <c r="L2" t="s">
        <v>22</v>
      </c>
      <c r="M2">
        <f>IF(G2="","",DATEDIF(F2,G2,"D"))</f>
        <v>3</v>
      </c>
      <c r="N2" t="str">
        <f ca="1">IF(AND(H2&lt;&gt;"completed",TODAY()-F2&gt;30),"Yes","No")</f>
        <v>No</v>
      </c>
    </row>
    <row r="3" spans="1:16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H3" t="s">
        <v>29</v>
      </c>
      <c r="J3" t="s">
        <v>20</v>
      </c>
      <c r="K3" t="s">
        <v>30</v>
      </c>
      <c r="L3" t="s">
        <v>31</v>
      </c>
      <c r="M3" t="str">
        <f t="shared" ref="M3:M66" si="0">IF(G3="","",DATEDIF(F3,G3,"D"))</f>
        <v/>
      </c>
      <c r="N3" t="str">
        <f t="shared" ref="N3:N66" ca="1" si="1">IF(AND(H3&lt;&gt;"completed",TODAY()-F3&gt;30),"Yes","No")</f>
        <v>Yes</v>
      </c>
      <c r="O3" s="1" t="s">
        <v>248</v>
      </c>
      <c r="P3" t="s">
        <v>254</v>
      </c>
    </row>
    <row r="4" spans="1:16" x14ac:dyDescent="0.3">
      <c r="A4" t="s">
        <v>32</v>
      </c>
      <c r="B4" t="s">
        <v>33</v>
      </c>
      <c r="C4" t="s">
        <v>14</v>
      </c>
      <c r="D4" t="s">
        <v>34</v>
      </c>
      <c r="E4" t="s">
        <v>35</v>
      </c>
      <c r="F4" t="s">
        <v>36</v>
      </c>
      <c r="H4" t="s">
        <v>37</v>
      </c>
      <c r="J4" t="s">
        <v>38</v>
      </c>
      <c r="K4" t="s">
        <v>39</v>
      </c>
      <c r="L4" t="s">
        <v>22</v>
      </c>
      <c r="M4" t="str">
        <f t="shared" si="0"/>
        <v/>
      </c>
      <c r="N4" t="str">
        <f t="shared" ca="1" si="1"/>
        <v>Yes</v>
      </c>
    </row>
    <row r="5" spans="1:16" x14ac:dyDescent="0.3">
      <c r="A5" t="s">
        <v>40</v>
      </c>
      <c r="B5" t="s">
        <v>41</v>
      </c>
      <c r="C5" t="s">
        <v>42</v>
      </c>
      <c r="D5" t="s">
        <v>15</v>
      </c>
      <c r="E5" t="s">
        <v>16</v>
      </c>
      <c r="F5" t="s">
        <v>43</v>
      </c>
      <c r="H5" t="s">
        <v>37</v>
      </c>
      <c r="J5" t="s">
        <v>20</v>
      </c>
      <c r="K5" t="s">
        <v>30</v>
      </c>
      <c r="L5" t="s">
        <v>22</v>
      </c>
      <c r="M5" t="str">
        <f t="shared" si="0"/>
        <v/>
      </c>
      <c r="N5" t="str">
        <f t="shared" ca="1" si="1"/>
        <v>Yes</v>
      </c>
      <c r="O5" s="1" t="s">
        <v>249</v>
      </c>
      <c r="P5" t="s">
        <v>283</v>
      </c>
    </row>
    <row r="6" spans="1:16" x14ac:dyDescent="0.3">
      <c r="A6" t="s">
        <v>44</v>
      </c>
      <c r="B6" t="s">
        <v>24</v>
      </c>
      <c r="C6" t="s">
        <v>45</v>
      </c>
      <c r="D6" t="s">
        <v>15</v>
      </c>
      <c r="E6" t="s">
        <v>16</v>
      </c>
      <c r="F6" t="s">
        <v>46</v>
      </c>
      <c r="H6" t="s">
        <v>29</v>
      </c>
      <c r="J6" t="s">
        <v>47</v>
      </c>
      <c r="K6" t="s">
        <v>30</v>
      </c>
      <c r="L6" t="s">
        <v>31</v>
      </c>
      <c r="M6" t="str">
        <f t="shared" si="0"/>
        <v/>
      </c>
      <c r="N6" t="str">
        <f t="shared" ca="1" si="1"/>
        <v>Yes</v>
      </c>
      <c r="O6" s="2" t="s">
        <v>45</v>
      </c>
      <c r="P6">
        <v>11</v>
      </c>
    </row>
    <row r="7" spans="1:16" x14ac:dyDescent="0.3">
      <c r="A7" t="s">
        <v>48</v>
      </c>
      <c r="B7" t="s">
        <v>49</v>
      </c>
      <c r="C7" t="s">
        <v>14</v>
      </c>
      <c r="D7" t="s">
        <v>50</v>
      </c>
      <c r="E7" t="s">
        <v>51</v>
      </c>
      <c r="F7" t="s">
        <v>52</v>
      </c>
      <c r="G7" t="s">
        <v>53</v>
      </c>
      <c r="H7" t="s">
        <v>19</v>
      </c>
      <c r="I7">
        <v>87</v>
      </c>
      <c r="J7" t="s">
        <v>47</v>
      </c>
      <c r="K7" t="s">
        <v>39</v>
      </c>
      <c r="L7" t="s">
        <v>22</v>
      </c>
      <c r="M7">
        <f t="shared" si="0"/>
        <v>5</v>
      </c>
      <c r="N7" t="str">
        <f t="shared" ca="1" si="1"/>
        <v>No</v>
      </c>
      <c r="O7" s="2" t="s">
        <v>14</v>
      </c>
      <c r="P7">
        <v>16</v>
      </c>
    </row>
    <row r="8" spans="1:16" x14ac:dyDescent="0.3">
      <c r="A8" t="s">
        <v>54</v>
      </c>
      <c r="B8" t="s">
        <v>55</v>
      </c>
      <c r="C8" t="s">
        <v>56</v>
      </c>
      <c r="D8" t="s">
        <v>34</v>
      </c>
      <c r="E8" t="s">
        <v>35</v>
      </c>
      <c r="F8" t="s">
        <v>57</v>
      </c>
      <c r="G8" t="s">
        <v>46</v>
      </c>
      <c r="H8" t="s">
        <v>19</v>
      </c>
      <c r="I8">
        <v>91</v>
      </c>
      <c r="J8" t="s">
        <v>47</v>
      </c>
      <c r="K8" t="s">
        <v>58</v>
      </c>
      <c r="L8" t="s">
        <v>22</v>
      </c>
      <c r="M8">
        <f t="shared" si="0"/>
        <v>3</v>
      </c>
      <c r="N8" t="str">
        <f t="shared" ca="1" si="1"/>
        <v>No</v>
      </c>
      <c r="O8" s="2" t="s">
        <v>56</v>
      </c>
      <c r="P8">
        <v>18</v>
      </c>
    </row>
    <row r="9" spans="1:16" x14ac:dyDescent="0.3">
      <c r="A9" t="s">
        <v>59</v>
      </c>
      <c r="B9" t="s">
        <v>24</v>
      </c>
      <c r="C9" t="s">
        <v>60</v>
      </c>
      <c r="D9" t="s">
        <v>61</v>
      </c>
      <c r="E9" t="s">
        <v>62</v>
      </c>
      <c r="F9" t="s">
        <v>63</v>
      </c>
      <c r="H9" t="s">
        <v>37</v>
      </c>
      <c r="J9" t="s">
        <v>38</v>
      </c>
      <c r="K9" t="s">
        <v>58</v>
      </c>
      <c r="L9" t="s">
        <v>22</v>
      </c>
      <c r="M9" t="str">
        <f t="shared" si="0"/>
        <v/>
      </c>
      <c r="N9" t="str">
        <f t="shared" ca="1" si="1"/>
        <v>Yes</v>
      </c>
      <c r="O9" s="2" t="s">
        <v>42</v>
      </c>
      <c r="P9">
        <v>18</v>
      </c>
    </row>
    <row r="10" spans="1:16" x14ac:dyDescent="0.3">
      <c r="A10" t="s">
        <v>64</v>
      </c>
      <c r="B10" t="s">
        <v>65</v>
      </c>
      <c r="C10" t="s">
        <v>42</v>
      </c>
      <c r="D10" t="s">
        <v>15</v>
      </c>
      <c r="E10" t="s">
        <v>16</v>
      </c>
      <c r="F10" t="s">
        <v>57</v>
      </c>
      <c r="G10" t="s">
        <v>66</v>
      </c>
      <c r="H10" t="s">
        <v>19</v>
      </c>
      <c r="I10">
        <v>78</v>
      </c>
      <c r="J10" t="s">
        <v>47</v>
      </c>
      <c r="K10" t="s">
        <v>67</v>
      </c>
      <c r="L10" t="s">
        <v>22</v>
      </c>
      <c r="M10">
        <f t="shared" si="0"/>
        <v>9</v>
      </c>
      <c r="N10" t="str">
        <f t="shared" ca="1" si="1"/>
        <v>No</v>
      </c>
      <c r="O10" s="2" t="s">
        <v>60</v>
      </c>
      <c r="P10">
        <v>16</v>
      </c>
    </row>
    <row r="11" spans="1:16" x14ac:dyDescent="0.3">
      <c r="A11" t="s">
        <v>68</v>
      </c>
      <c r="B11" t="s">
        <v>69</v>
      </c>
      <c r="C11" t="s">
        <v>14</v>
      </c>
      <c r="D11" t="s">
        <v>34</v>
      </c>
      <c r="E11" t="s">
        <v>35</v>
      </c>
      <c r="F11" t="s">
        <v>70</v>
      </c>
      <c r="G11" t="s">
        <v>71</v>
      </c>
      <c r="H11" t="s">
        <v>19</v>
      </c>
      <c r="I11">
        <v>72</v>
      </c>
      <c r="J11" t="s">
        <v>47</v>
      </c>
      <c r="K11" t="s">
        <v>67</v>
      </c>
      <c r="L11" t="s">
        <v>22</v>
      </c>
      <c r="M11">
        <f t="shared" si="0"/>
        <v>12</v>
      </c>
      <c r="N11" t="str">
        <f t="shared" ca="1" si="1"/>
        <v>No</v>
      </c>
      <c r="O11" s="2" t="s">
        <v>25</v>
      </c>
      <c r="P11">
        <v>13</v>
      </c>
    </row>
    <row r="12" spans="1:16" x14ac:dyDescent="0.3">
      <c r="A12" t="s">
        <v>72</v>
      </c>
      <c r="B12" t="s">
        <v>73</v>
      </c>
      <c r="C12" t="s">
        <v>56</v>
      </c>
      <c r="D12" t="s">
        <v>61</v>
      </c>
      <c r="E12" t="s">
        <v>62</v>
      </c>
      <c r="F12" t="s">
        <v>43</v>
      </c>
      <c r="H12" t="s">
        <v>29</v>
      </c>
      <c r="J12" t="s">
        <v>20</v>
      </c>
      <c r="K12" t="s">
        <v>67</v>
      </c>
      <c r="L12" t="s">
        <v>31</v>
      </c>
      <c r="M12" t="str">
        <f t="shared" si="0"/>
        <v/>
      </c>
      <c r="N12" t="str">
        <f t="shared" ca="1" si="1"/>
        <v>Yes</v>
      </c>
      <c r="O12" s="2" t="s">
        <v>250</v>
      </c>
      <c r="P12">
        <v>92</v>
      </c>
    </row>
    <row r="13" spans="1:16" x14ac:dyDescent="0.3">
      <c r="A13" t="s">
        <v>74</v>
      </c>
      <c r="B13" t="s">
        <v>75</v>
      </c>
      <c r="C13" t="s">
        <v>60</v>
      </c>
      <c r="D13" t="s">
        <v>50</v>
      </c>
      <c r="E13" t="s">
        <v>51</v>
      </c>
      <c r="F13" t="s">
        <v>70</v>
      </c>
      <c r="G13" t="s">
        <v>63</v>
      </c>
      <c r="H13" t="s">
        <v>19</v>
      </c>
      <c r="I13">
        <v>88</v>
      </c>
      <c r="J13" t="s">
        <v>20</v>
      </c>
      <c r="K13" t="s">
        <v>21</v>
      </c>
      <c r="L13" t="s">
        <v>22</v>
      </c>
      <c r="M13">
        <f t="shared" si="0"/>
        <v>10</v>
      </c>
      <c r="N13" t="str">
        <f t="shared" ca="1" si="1"/>
        <v>No</v>
      </c>
    </row>
    <row r="14" spans="1:16" x14ac:dyDescent="0.3">
      <c r="A14" t="s">
        <v>76</v>
      </c>
      <c r="B14" t="s">
        <v>41</v>
      </c>
      <c r="C14" t="s">
        <v>42</v>
      </c>
      <c r="D14" t="s">
        <v>34</v>
      </c>
      <c r="E14" t="s">
        <v>35</v>
      </c>
      <c r="F14" t="s">
        <v>36</v>
      </c>
      <c r="G14" t="s">
        <v>77</v>
      </c>
      <c r="H14" t="s">
        <v>19</v>
      </c>
      <c r="I14">
        <v>84</v>
      </c>
      <c r="J14" t="s">
        <v>47</v>
      </c>
      <c r="K14" t="s">
        <v>30</v>
      </c>
      <c r="L14" t="s">
        <v>22</v>
      </c>
      <c r="M14">
        <f t="shared" si="0"/>
        <v>7</v>
      </c>
      <c r="N14" t="str">
        <f t="shared" ca="1" si="1"/>
        <v>No</v>
      </c>
    </row>
    <row r="15" spans="1:16" x14ac:dyDescent="0.3">
      <c r="A15" t="s">
        <v>78</v>
      </c>
      <c r="B15" t="s">
        <v>13</v>
      </c>
      <c r="C15" t="s">
        <v>25</v>
      </c>
      <c r="D15" t="s">
        <v>15</v>
      </c>
      <c r="E15" t="s">
        <v>16</v>
      </c>
      <c r="F15" t="s">
        <v>43</v>
      </c>
      <c r="G15" t="s">
        <v>79</v>
      </c>
      <c r="H15" t="s">
        <v>19</v>
      </c>
      <c r="I15">
        <v>86</v>
      </c>
      <c r="J15" t="s">
        <v>38</v>
      </c>
      <c r="K15" t="s">
        <v>21</v>
      </c>
      <c r="L15" t="s">
        <v>22</v>
      </c>
      <c r="M15">
        <f t="shared" si="0"/>
        <v>6</v>
      </c>
      <c r="N15" t="str">
        <f t="shared" ca="1" si="1"/>
        <v>No</v>
      </c>
    </row>
    <row r="16" spans="1:16" x14ac:dyDescent="0.3">
      <c r="A16" t="s">
        <v>80</v>
      </c>
      <c r="B16" t="s">
        <v>81</v>
      </c>
      <c r="C16" t="s">
        <v>45</v>
      </c>
      <c r="D16" t="s">
        <v>34</v>
      </c>
      <c r="E16" t="s">
        <v>35</v>
      </c>
      <c r="F16" t="s">
        <v>82</v>
      </c>
      <c r="H16" t="s">
        <v>29</v>
      </c>
      <c r="J16" t="s">
        <v>47</v>
      </c>
      <c r="K16" t="s">
        <v>67</v>
      </c>
      <c r="L16" t="s">
        <v>31</v>
      </c>
      <c r="M16" t="str">
        <f t="shared" si="0"/>
        <v/>
      </c>
      <c r="N16" t="str">
        <f t="shared" ca="1" si="1"/>
        <v>Yes</v>
      </c>
    </row>
    <row r="17" spans="1:14" x14ac:dyDescent="0.3">
      <c r="A17" t="s">
        <v>83</v>
      </c>
      <c r="B17" t="s">
        <v>84</v>
      </c>
      <c r="C17" t="s">
        <v>25</v>
      </c>
      <c r="D17" t="s">
        <v>26</v>
      </c>
      <c r="E17" t="s">
        <v>27</v>
      </c>
      <c r="F17" t="s">
        <v>63</v>
      </c>
      <c r="G17" t="s">
        <v>85</v>
      </c>
      <c r="H17" t="s">
        <v>19</v>
      </c>
      <c r="I17">
        <v>81</v>
      </c>
      <c r="J17" t="s">
        <v>47</v>
      </c>
      <c r="K17" t="s">
        <v>39</v>
      </c>
      <c r="L17" t="s">
        <v>22</v>
      </c>
      <c r="M17">
        <f t="shared" si="0"/>
        <v>11</v>
      </c>
      <c r="N17" t="str">
        <f t="shared" ca="1" si="1"/>
        <v>No</v>
      </c>
    </row>
    <row r="18" spans="1:14" x14ac:dyDescent="0.3">
      <c r="A18" t="s">
        <v>86</v>
      </c>
      <c r="B18" t="s">
        <v>13</v>
      </c>
      <c r="C18" t="s">
        <v>42</v>
      </c>
      <c r="D18" t="s">
        <v>15</v>
      </c>
      <c r="E18" t="s">
        <v>16</v>
      </c>
      <c r="F18" t="s">
        <v>46</v>
      </c>
      <c r="H18" t="s">
        <v>37</v>
      </c>
      <c r="J18" t="s">
        <v>20</v>
      </c>
      <c r="K18" t="s">
        <v>58</v>
      </c>
      <c r="L18" t="s">
        <v>22</v>
      </c>
      <c r="M18" t="str">
        <f t="shared" si="0"/>
        <v/>
      </c>
      <c r="N18" t="str">
        <f t="shared" ca="1" si="1"/>
        <v>Yes</v>
      </c>
    </row>
    <row r="19" spans="1:14" x14ac:dyDescent="0.3">
      <c r="A19" t="s">
        <v>87</v>
      </c>
      <c r="B19" t="s">
        <v>69</v>
      </c>
      <c r="C19" t="s">
        <v>25</v>
      </c>
      <c r="D19" t="s">
        <v>88</v>
      </c>
      <c r="E19" t="s">
        <v>89</v>
      </c>
      <c r="F19" t="s">
        <v>28</v>
      </c>
      <c r="G19" t="s">
        <v>53</v>
      </c>
      <c r="H19" t="s">
        <v>19</v>
      </c>
      <c r="I19">
        <v>87</v>
      </c>
      <c r="J19" t="s">
        <v>38</v>
      </c>
      <c r="K19" t="s">
        <v>67</v>
      </c>
      <c r="L19" t="s">
        <v>22</v>
      </c>
      <c r="M19">
        <f t="shared" si="0"/>
        <v>8</v>
      </c>
      <c r="N19" t="str">
        <f t="shared" ca="1" si="1"/>
        <v>No</v>
      </c>
    </row>
    <row r="20" spans="1:14" x14ac:dyDescent="0.3">
      <c r="A20" t="s">
        <v>90</v>
      </c>
      <c r="B20" t="s">
        <v>84</v>
      </c>
      <c r="C20" t="s">
        <v>14</v>
      </c>
      <c r="D20" t="s">
        <v>88</v>
      </c>
      <c r="E20" t="s">
        <v>89</v>
      </c>
      <c r="F20" t="s">
        <v>18</v>
      </c>
      <c r="G20" t="s">
        <v>91</v>
      </c>
      <c r="H20" t="s">
        <v>19</v>
      </c>
      <c r="I20">
        <v>88</v>
      </c>
      <c r="J20" t="s">
        <v>20</v>
      </c>
      <c r="K20" t="s">
        <v>58</v>
      </c>
      <c r="L20" t="s">
        <v>22</v>
      </c>
      <c r="M20">
        <f t="shared" si="0"/>
        <v>9</v>
      </c>
      <c r="N20" t="str">
        <f t="shared" ca="1" si="1"/>
        <v>No</v>
      </c>
    </row>
    <row r="21" spans="1:14" x14ac:dyDescent="0.3">
      <c r="A21" t="s">
        <v>92</v>
      </c>
      <c r="B21" t="s">
        <v>41</v>
      </c>
      <c r="C21" t="s">
        <v>14</v>
      </c>
      <c r="D21" t="s">
        <v>50</v>
      </c>
      <c r="E21" t="s">
        <v>51</v>
      </c>
      <c r="F21" t="s">
        <v>18</v>
      </c>
      <c r="H21" t="s">
        <v>37</v>
      </c>
      <c r="J21" t="s">
        <v>47</v>
      </c>
      <c r="K21" t="s">
        <v>30</v>
      </c>
      <c r="L21" t="s">
        <v>22</v>
      </c>
      <c r="M21" t="str">
        <f t="shared" si="0"/>
        <v/>
      </c>
      <c r="N21" t="str">
        <f t="shared" ca="1" si="1"/>
        <v>Yes</v>
      </c>
    </row>
    <row r="22" spans="1:14" x14ac:dyDescent="0.3">
      <c r="A22" t="s">
        <v>93</v>
      </c>
      <c r="B22" t="s">
        <v>94</v>
      </c>
      <c r="C22" t="s">
        <v>25</v>
      </c>
      <c r="D22" t="s">
        <v>50</v>
      </c>
      <c r="E22" t="s">
        <v>51</v>
      </c>
      <c r="F22" t="s">
        <v>36</v>
      </c>
      <c r="G22" t="s">
        <v>95</v>
      </c>
      <c r="H22" t="s">
        <v>19</v>
      </c>
      <c r="I22">
        <v>86</v>
      </c>
      <c r="J22" t="s">
        <v>20</v>
      </c>
      <c r="K22" t="s">
        <v>39</v>
      </c>
      <c r="L22" t="s">
        <v>22</v>
      </c>
      <c r="M22">
        <f t="shared" si="0"/>
        <v>8</v>
      </c>
      <c r="N22" t="str">
        <f t="shared" ca="1" si="1"/>
        <v>No</v>
      </c>
    </row>
    <row r="23" spans="1:14" x14ac:dyDescent="0.3">
      <c r="A23" t="s">
        <v>96</v>
      </c>
      <c r="B23" t="s">
        <v>65</v>
      </c>
      <c r="C23" t="s">
        <v>45</v>
      </c>
      <c r="D23" t="s">
        <v>61</v>
      </c>
      <c r="E23" t="s">
        <v>62</v>
      </c>
      <c r="F23" t="s">
        <v>79</v>
      </c>
      <c r="H23" t="s">
        <v>29</v>
      </c>
      <c r="J23" t="s">
        <v>47</v>
      </c>
      <c r="K23" t="s">
        <v>21</v>
      </c>
      <c r="L23" t="s">
        <v>31</v>
      </c>
      <c r="M23" t="str">
        <f t="shared" si="0"/>
        <v/>
      </c>
      <c r="N23" t="str">
        <f t="shared" ca="1" si="1"/>
        <v>Yes</v>
      </c>
    </row>
    <row r="24" spans="1:14" x14ac:dyDescent="0.3">
      <c r="A24" t="s">
        <v>97</v>
      </c>
      <c r="B24" t="s">
        <v>69</v>
      </c>
      <c r="C24" t="s">
        <v>42</v>
      </c>
      <c r="D24" t="s">
        <v>88</v>
      </c>
      <c r="E24" t="s">
        <v>89</v>
      </c>
      <c r="F24" t="s">
        <v>77</v>
      </c>
      <c r="H24" t="s">
        <v>37</v>
      </c>
      <c r="J24" t="s">
        <v>38</v>
      </c>
      <c r="K24" t="s">
        <v>39</v>
      </c>
      <c r="L24" t="s">
        <v>22</v>
      </c>
      <c r="M24" t="str">
        <f t="shared" si="0"/>
        <v/>
      </c>
      <c r="N24" t="str">
        <f t="shared" ca="1" si="1"/>
        <v>Yes</v>
      </c>
    </row>
    <row r="25" spans="1:14" x14ac:dyDescent="0.3">
      <c r="A25" t="s">
        <v>98</v>
      </c>
      <c r="B25" t="s">
        <v>99</v>
      </c>
      <c r="C25" t="s">
        <v>60</v>
      </c>
      <c r="D25" t="s">
        <v>50</v>
      </c>
      <c r="E25" t="s">
        <v>51</v>
      </c>
      <c r="F25" t="s">
        <v>100</v>
      </c>
      <c r="G25" t="s">
        <v>101</v>
      </c>
      <c r="H25" t="s">
        <v>19</v>
      </c>
      <c r="I25">
        <v>87</v>
      </c>
      <c r="J25" t="s">
        <v>47</v>
      </c>
      <c r="K25" t="s">
        <v>39</v>
      </c>
      <c r="L25" t="s">
        <v>22</v>
      </c>
      <c r="M25">
        <f t="shared" si="0"/>
        <v>12</v>
      </c>
      <c r="N25" t="str">
        <f t="shared" ca="1" si="1"/>
        <v>No</v>
      </c>
    </row>
    <row r="26" spans="1:14" x14ac:dyDescent="0.3">
      <c r="A26" t="s">
        <v>102</v>
      </c>
      <c r="B26" t="s">
        <v>55</v>
      </c>
      <c r="C26" t="s">
        <v>60</v>
      </c>
      <c r="D26" t="s">
        <v>34</v>
      </c>
      <c r="E26" t="s">
        <v>35</v>
      </c>
      <c r="F26" t="s">
        <v>17</v>
      </c>
      <c r="H26" t="s">
        <v>37</v>
      </c>
      <c r="J26" t="s">
        <v>47</v>
      </c>
      <c r="K26" t="s">
        <v>30</v>
      </c>
      <c r="L26" t="s">
        <v>22</v>
      </c>
      <c r="M26" t="str">
        <f t="shared" si="0"/>
        <v/>
      </c>
      <c r="N26" t="str">
        <f t="shared" ca="1" si="1"/>
        <v>Yes</v>
      </c>
    </row>
    <row r="27" spans="1:14" x14ac:dyDescent="0.3">
      <c r="A27" t="s">
        <v>103</v>
      </c>
      <c r="B27" t="s">
        <v>84</v>
      </c>
      <c r="C27" t="s">
        <v>56</v>
      </c>
      <c r="D27" t="s">
        <v>88</v>
      </c>
      <c r="E27" t="s">
        <v>89</v>
      </c>
      <c r="F27" t="s">
        <v>104</v>
      </c>
      <c r="H27" t="s">
        <v>29</v>
      </c>
      <c r="J27" t="s">
        <v>38</v>
      </c>
      <c r="K27" t="s">
        <v>21</v>
      </c>
      <c r="L27" t="s">
        <v>31</v>
      </c>
      <c r="M27" t="str">
        <f t="shared" si="0"/>
        <v/>
      </c>
      <c r="N27" t="str">
        <f t="shared" ca="1" si="1"/>
        <v>Yes</v>
      </c>
    </row>
    <row r="28" spans="1:14" x14ac:dyDescent="0.3">
      <c r="A28" t="s">
        <v>105</v>
      </c>
      <c r="B28" t="s">
        <v>94</v>
      </c>
      <c r="C28" t="s">
        <v>60</v>
      </c>
      <c r="D28" t="s">
        <v>34</v>
      </c>
      <c r="E28" t="s">
        <v>35</v>
      </c>
      <c r="F28" t="s">
        <v>70</v>
      </c>
      <c r="H28" t="s">
        <v>37</v>
      </c>
      <c r="J28" t="s">
        <v>38</v>
      </c>
      <c r="K28" t="s">
        <v>21</v>
      </c>
      <c r="L28" t="s">
        <v>22</v>
      </c>
      <c r="M28" t="str">
        <f t="shared" si="0"/>
        <v/>
      </c>
      <c r="N28" t="str">
        <f t="shared" ca="1" si="1"/>
        <v>Yes</v>
      </c>
    </row>
    <row r="29" spans="1:14" x14ac:dyDescent="0.3">
      <c r="A29" t="s">
        <v>106</v>
      </c>
      <c r="B29" t="s">
        <v>94</v>
      </c>
      <c r="C29" t="s">
        <v>25</v>
      </c>
      <c r="D29" t="s">
        <v>50</v>
      </c>
      <c r="E29" t="s">
        <v>51</v>
      </c>
      <c r="F29" t="s">
        <v>107</v>
      </c>
      <c r="H29" t="s">
        <v>37</v>
      </c>
      <c r="J29" t="s">
        <v>20</v>
      </c>
      <c r="K29" t="s">
        <v>58</v>
      </c>
      <c r="L29" t="s">
        <v>22</v>
      </c>
      <c r="M29" t="str">
        <f t="shared" si="0"/>
        <v/>
      </c>
      <c r="N29" t="str">
        <f t="shared" ca="1" si="1"/>
        <v>Yes</v>
      </c>
    </row>
    <row r="30" spans="1:14" x14ac:dyDescent="0.3">
      <c r="A30" t="s">
        <v>108</v>
      </c>
      <c r="B30" t="s">
        <v>65</v>
      </c>
      <c r="C30" t="s">
        <v>56</v>
      </c>
      <c r="D30" t="s">
        <v>34</v>
      </c>
      <c r="E30" t="s">
        <v>35</v>
      </c>
      <c r="F30" t="s">
        <v>100</v>
      </c>
      <c r="H30" t="s">
        <v>37</v>
      </c>
      <c r="J30" t="s">
        <v>47</v>
      </c>
      <c r="K30" t="s">
        <v>30</v>
      </c>
      <c r="L30" t="s">
        <v>22</v>
      </c>
      <c r="M30" t="str">
        <f t="shared" si="0"/>
        <v/>
      </c>
      <c r="N30" t="str">
        <f t="shared" ca="1" si="1"/>
        <v>Yes</v>
      </c>
    </row>
    <row r="31" spans="1:14" x14ac:dyDescent="0.3">
      <c r="A31" t="s">
        <v>109</v>
      </c>
      <c r="B31" t="s">
        <v>84</v>
      </c>
      <c r="C31" t="s">
        <v>56</v>
      </c>
      <c r="D31" t="s">
        <v>15</v>
      </c>
      <c r="E31" t="s">
        <v>16</v>
      </c>
      <c r="F31" t="s">
        <v>52</v>
      </c>
      <c r="H31" t="s">
        <v>29</v>
      </c>
      <c r="J31" t="s">
        <v>38</v>
      </c>
      <c r="K31" t="s">
        <v>21</v>
      </c>
      <c r="L31" t="s">
        <v>31</v>
      </c>
      <c r="M31" t="str">
        <f t="shared" si="0"/>
        <v/>
      </c>
      <c r="N31" t="str">
        <f t="shared" ca="1" si="1"/>
        <v>Yes</v>
      </c>
    </row>
    <row r="32" spans="1:14" x14ac:dyDescent="0.3">
      <c r="A32" t="s">
        <v>110</v>
      </c>
      <c r="B32" t="s">
        <v>33</v>
      </c>
      <c r="C32" t="s">
        <v>56</v>
      </c>
      <c r="D32" t="s">
        <v>15</v>
      </c>
      <c r="E32" t="s">
        <v>16</v>
      </c>
      <c r="F32" t="s">
        <v>111</v>
      </c>
      <c r="H32" t="s">
        <v>37</v>
      </c>
      <c r="J32" t="s">
        <v>38</v>
      </c>
      <c r="K32" t="s">
        <v>21</v>
      </c>
      <c r="L32" t="s">
        <v>22</v>
      </c>
      <c r="M32" t="str">
        <f t="shared" si="0"/>
        <v/>
      </c>
      <c r="N32" t="str">
        <f t="shared" ca="1" si="1"/>
        <v>Yes</v>
      </c>
    </row>
    <row r="33" spans="1:14" x14ac:dyDescent="0.3">
      <c r="A33" t="s">
        <v>112</v>
      </c>
      <c r="B33" t="s">
        <v>75</v>
      </c>
      <c r="C33" t="s">
        <v>25</v>
      </c>
      <c r="D33" t="s">
        <v>61</v>
      </c>
      <c r="E33" t="s">
        <v>62</v>
      </c>
      <c r="F33" t="s">
        <v>28</v>
      </c>
      <c r="H33" t="s">
        <v>29</v>
      </c>
      <c r="J33" t="s">
        <v>47</v>
      </c>
      <c r="K33" t="s">
        <v>67</v>
      </c>
      <c r="L33" t="s">
        <v>31</v>
      </c>
      <c r="M33" t="str">
        <f t="shared" si="0"/>
        <v/>
      </c>
      <c r="N33" t="str">
        <f t="shared" ca="1" si="1"/>
        <v>Yes</v>
      </c>
    </row>
    <row r="34" spans="1:14" x14ac:dyDescent="0.3">
      <c r="A34" t="s">
        <v>113</v>
      </c>
      <c r="B34" t="s">
        <v>114</v>
      </c>
      <c r="C34" t="s">
        <v>42</v>
      </c>
      <c r="D34" t="s">
        <v>34</v>
      </c>
      <c r="E34" t="s">
        <v>35</v>
      </c>
      <c r="F34" t="s">
        <v>52</v>
      </c>
      <c r="H34" t="s">
        <v>37</v>
      </c>
      <c r="J34" t="s">
        <v>38</v>
      </c>
      <c r="K34" t="s">
        <v>39</v>
      </c>
      <c r="L34" t="s">
        <v>22</v>
      </c>
      <c r="M34" t="str">
        <f t="shared" si="0"/>
        <v/>
      </c>
      <c r="N34" t="str">
        <f t="shared" ca="1" si="1"/>
        <v>Yes</v>
      </c>
    </row>
    <row r="35" spans="1:14" x14ac:dyDescent="0.3">
      <c r="A35" t="s">
        <v>115</v>
      </c>
      <c r="B35" t="s">
        <v>99</v>
      </c>
      <c r="C35" t="s">
        <v>60</v>
      </c>
      <c r="D35" t="s">
        <v>50</v>
      </c>
      <c r="E35" t="s">
        <v>51</v>
      </c>
      <c r="F35" t="s">
        <v>77</v>
      </c>
      <c r="H35" t="s">
        <v>29</v>
      </c>
      <c r="J35" t="s">
        <v>38</v>
      </c>
      <c r="K35" t="s">
        <v>21</v>
      </c>
      <c r="L35" t="s">
        <v>31</v>
      </c>
      <c r="M35" t="str">
        <f t="shared" si="0"/>
        <v/>
      </c>
      <c r="N35" t="str">
        <f t="shared" ca="1" si="1"/>
        <v>Yes</v>
      </c>
    </row>
    <row r="36" spans="1:14" x14ac:dyDescent="0.3">
      <c r="A36" t="s">
        <v>116</v>
      </c>
      <c r="B36" t="s">
        <v>33</v>
      </c>
      <c r="C36" t="s">
        <v>14</v>
      </c>
      <c r="D36" t="s">
        <v>15</v>
      </c>
      <c r="E36" t="s">
        <v>16</v>
      </c>
      <c r="F36" t="s">
        <v>52</v>
      </c>
      <c r="H36" t="s">
        <v>37</v>
      </c>
      <c r="J36" t="s">
        <v>38</v>
      </c>
      <c r="K36" t="s">
        <v>67</v>
      </c>
      <c r="L36" t="s">
        <v>22</v>
      </c>
      <c r="M36" t="str">
        <f t="shared" si="0"/>
        <v/>
      </c>
      <c r="N36" t="str">
        <f t="shared" ca="1" si="1"/>
        <v>Yes</v>
      </c>
    </row>
    <row r="37" spans="1:14" x14ac:dyDescent="0.3">
      <c r="A37" t="s">
        <v>117</v>
      </c>
      <c r="B37" t="s">
        <v>118</v>
      </c>
      <c r="C37" t="s">
        <v>45</v>
      </c>
      <c r="D37" t="s">
        <v>61</v>
      </c>
      <c r="E37" t="s">
        <v>62</v>
      </c>
      <c r="F37" t="s">
        <v>95</v>
      </c>
      <c r="H37" t="s">
        <v>29</v>
      </c>
      <c r="J37" t="s">
        <v>38</v>
      </c>
      <c r="K37" t="s">
        <v>39</v>
      </c>
      <c r="L37" t="s">
        <v>31</v>
      </c>
      <c r="M37" t="str">
        <f t="shared" si="0"/>
        <v/>
      </c>
      <c r="N37" t="str">
        <f t="shared" ca="1" si="1"/>
        <v>Yes</v>
      </c>
    </row>
    <row r="38" spans="1:14" x14ac:dyDescent="0.3">
      <c r="A38" t="s">
        <v>119</v>
      </c>
      <c r="B38" t="s">
        <v>33</v>
      </c>
      <c r="C38" t="s">
        <v>42</v>
      </c>
      <c r="D38" t="s">
        <v>61</v>
      </c>
      <c r="E38" t="s">
        <v>62</v>
      </c>
      <c r="F38" t="s">
        <v>77</v>
      </c>
      <c r="H38" t="s">
        <v>37</v>
      </c>
      <c r="J38" t="s">
        <v>47</v>
      </c>
      <c r="K38" t="s">
        <v>67</v>
      </c>
      <c r="L38" t="s">
        <v>22</v>
      </c>
      <c r="M38" t="str">
        <f t="shared" si="0"/>
        <v/>
      </c>
      <c r="N38" t="str">
        <f t="shared" ca="1" si="1"/>
        <v>Yes</v>
      </c>
    </row>
    <row r="39" spans="1:14" x14ac:dyDescent="0.3">
      <c r="A39" t="s">
        <v>120</v>
      </c>
      <c r="B39" t="s">
        <v>24</v>
      </c>
      <c r="C39" t="s">
        <v>42</v>
      </c>
      <c r="D39" t="s">
        <v>34</v>
      </c>
      <c r="E39" t="s">
        <v>35</v>
      </c>
      <c r="F39" t="s">
        <v>17</v>
      </c>
      <c r="H39" t="s">
        <v>29</v>
      </c>
      <c r="J39" t="s">
        <v>20</v>
      </c>
      <c r="K39" t="s">
        <v>30</v>
      </c>
      <c r="L39" t="s">
        <v>31</v>
      </c>
      <c r="M39" t="str">
        <f t="shared" si="0"/>
        <v/>
      </c>
      <c r="N39" t="str">
        <f t="shared" ca="1" si="1"/>
        <v>Yes</v>
      </c>
    </row>
    <row r="40" spans="1:14" x14ac:dyDescent="0.3">
      <c r="A40" t="s">
        <v>121</v>
      </c>
      <c r="B40" t="s">
        <v>55</v>
      </c>
      <c r="C40" t="s">
        <v>42</v>
      </c>
      <c r="D40" t="s">
        <v>61</v>
      </c>
      <c r="E40" t="s">
        <v>62</v>
      </c>
      <c r="F40" t="s">
        <v>122</v>
      </c>
      <c r="H40" t="s">
        <v>37</v>
      </c>
      <c r="J40" t="s">
        <v>38</v>
      </c>
      <c r="K40" t="s">
        <v>30</v>
      </c>
      <c r="L40" t="s">
        <v>22</v>
      </c>
      <c r="M40" t="str">
        <f t="shared" si="0"/>
        <v/>
      </c>
      <c r="N40" t="str">
        <f t="shared" ca="1" si="1"/>
        <v>Yes</v>
      </c>
    </row>
    <row r="41" spans="1:14" x14ac:dyDescent="0.3">
      <c r="A41" t="s">
        <v>123</v>
      </c>
      <c r="B41" t="s">
        <v>75</v>
      </c>
      <c r="C41" t="s">
        <v>45</v>
      </c>
      <c r="D41" t="s">
        <v>50</v>
      </c>
      <c r="E41" t="s">
        <v>51</v>
      </c>
      <c r="F41" t="s">
        <v>85</v>
      </c>
      <c r="G41" t="s">
        <v>124</v>
      </c>
      <c r="H41" t="s">
        <v>19</v>
      </c>
      <c r="I41">
        <v>74</v>
      </c>
      <c r="J41" t="s">
        <v>20</v>
      </c>
      <c r="K41" t="s">
        <v>58</v>
      </c>
      <c r="L41" t="s">
        <v>22</v>
      </c>
      <c r="M41">
        <f t="shared" si="0"/>
        <v>5</v>
      </c>
      <c r="N41" t="str">
        <f t="shared" ca="1" si="1"/>
        <v>No</v>
      </c>
    </row>
    <row r="42" spans="1:14" x14ac:dyDescent="0.3">
      <c r="A42" t="s">
        <v>125</v>
      </c>
      <c r="B42" t="s">
        <v>65</v>
      </c>
      <c r="C42" t="s">
        <v>60</v>
      </c>
      <c r="D42" t="s">
        <v>26</v>
      </c>
      <c r="E42" t="s">
        <v>27</v>
      </c>
      <c r="F42" t="s">
        <v>104</v>
      </c>
      <c r="H42" t="s">
        <v>37</v>
      </c>
      <c r="J42" t="s">
        <v>20</v>
      </c>
      <c r="K42" t="s">
        <v>67</v>
      </c>
      <c r="L42" t="s">
        <v>22</v>
      </c>
      <c r="M42" t="str">
        <f t="shared" si="0"/>
        <v/>
      </c>
      <c r="N42" t="str">
        <f t="shared" ca="1" si="1"/>
        <v>Yes</v>
      </c>
    </row>
    <row r="43" spans="1:14" x14ac:dyDescent="0.3">
      <c r="A43" t="s">
        <v>126</v>
      </c>
      <c r="B43" t="s">
        <v>65</v>
      </c>
      <c r="C43" t="s">
        <v>60</v>
      </c>
      <c r="D43" t="s">
        <v>26</v>
      </c>
      <c r="E43" t="s">
        <v>27</v>
      </c>
      <c r="F43" t="s">
        <v>100</v>
      </c>
      <c r="G43" t="s">
        <v>101</v>
      </c>
      <c r="H43" t="s">
        <v>19</v>
      </c>
      <c r="I43">
        <v>88</v>
      </c>
      <c r="J43" t="s">
        <v>47</v>
      </c>
      <c r="K43" t="s">
        <v>58</v>
      </c>
      <c r="L43" t="s">
        <v>22</v>
      </c>
      <c r="M43">
        <f t="shared" si="0"/>
        <v>12</v>
      </c>
      <c r="N43" t="str">
        <f t="shared" ca="1" si="1"/>
        <v>No</v>
      </c>
    </row>
    <row r="44" spans="1:14" x14ac:dyDescent="0.3">
      <c r="A44" t="s">
        <v>127</v>
      </c>
      <c r="B44" t="s">
        <v>81</v>
      </c>
      <c r="C44" t="s">
        <v>14</v>
      </c>
      <c r="D44" t="s">
        <v>34</v>
      </c>
      <c r="E44" t="s">
        <v>35</v>
      </c>
      <c r="F44" t="s">
        <v>104</v>
      </c>
      <c r="G44" t="s">
        <v>128</v>
      </c>
      <c r="H44" t="s">
        <v>19</v>
      </c>
      <c r="I44">
        <v>70</v>
      </c>
      <c r="J44" t="s">
        <v>20</v>
      </c>
      <c r="K44" t="s">
        <v>30</v>
      </c>
      <c r="L44" t="s">
        <v>22</v>
      </c>
      <c r="M44">
        <f t="shared" si="0"/>
        <v>8</v>
      </c>
      <c r="N44" t="str">
        <f t="shared" ca="1" si="1"/>
        <v>No</v>
      </c>
    </row>
    <row r="45" spans="1:14" x14ac:dyDescent="0.3">
      <c r="A45" t="s">
        <v>129</v>
      </c>
      <c r="B45" t="s">
        <v>41</v>
      </c>
      <c r="C45" t="s">
        <v>42</v>
      </c>
      <c r="D45" t="s">
        <v>50</v>
      </c>
      <c r="E45" t="s">
        <v>51</v>
      </c>
      <c r="F45" t="s">
        <v>66</v>
      </c>
      <c r="G45" t="s">
        <v>53</v>
      </c>
      <c r="H45" t="s">
        <v>19</v>
      </c>
      <c r="I45">
        <v>87</v>
      </c>
      <c r="J45" t="s">
        <v>38</v>
      </c>
      <c r="K45" t="s">
        <v>67</v>
      </c>
      <c r="L45" t="s">
        <v>22</v>
      </c>
      <c r="M45">
        <f t="shared" si="0"/>
        <v>11</v>
      </c>
      <c r="N45" t="str">
        <f t="shared" ca="1" si="1"/>
        <v>No</v>
      </c>
    </row>
    <row r="46" spans="1:14" x14ac:dyDescent="0.3">
      <c r="A46" t="s">
        <v>130</v>
      </c>
      <c r="B46" t="s">
        <v>99</v>
      </c>
      <c r="C46" t="s">
        <v>14</v>
      </c>
      <c r="D46" t="s">
        <v>88</v>
      </c>
      <c r="E46" t="s">
        <v>89</v>
      </c>
      <c r="F46" t="s">
        <v>100</v>
      </c>
      <c r="H46" t="s">
        <v>37</v>
      </c>
      <c r="J46" t="s">
        <v>47</v>
      </c>
      <c r="K46" t="s">
        <v>58</v>
      </c>
      <c r="L46" t="s">
        <v>22</v>
      </c>
      <c r="M46" t="str">
        <f t="shared" si="0"/>
        <v/>
      </c>
      <c r="N46" t="str">
        <f t="shared" ca="1" si="1"/>
        <v>Yes</v>
      </c>
    </row>
    <row r="47" spans="1:14" x14ac:dyDescent="0.3">
      <c r="A47" t="s">
        <v>131</v>
      </c>
      <c r="B47" t="s">
        <v>13</v>
      </c>
      <c r="C47" t="s">
        <v>56</v>
      </c>
      <c r="D47" t="s">
        <v>88</v>
      </c>
      <c r="E47" t="s">
        <v>89</v>
      </c>
      <c r="F47" t="s">
        <v>85</v>
      </c>
      <c r="G47" t="s">
        <v>53</v>
      </c>
      <c r="H47" t="s">
        <v>19</v>
      </c>
      <c r="I47">
        <v>87</v>
      </c>
      <c r="J47" t="s">
        <v>20</v>
      </c>
      <c r="K47" t="s">
        <v>39</v>
      </c>
      <c r="L47" t="s">
        <v>22</v>
      </c>
      <c r="M47">
        <f t="shared" si="0"/>
        <v>3</v>
      </c>
      <c r="N47" t="str">
        <f t="shared" ca="1" si="1"/>
        <v>No</v>
      </c>
    </row>
    <row r="48" spans="1:14" x14ac:dyDescent="0.3">
      <c r="A48" t="s">
        <v>132</v>
      </c>
      <c r="B48" t="s">
        <v>99</v>
      </c>
      <c r="C48" t="s">
        <v>60</v>
      </c>
      <c r="D48" t="s">
        <v>61</v>
      </c>
      <c r="E48" t="s">
        <v>62</v>
      </c>
      <c r="F48" t="s">
        <v>133</v>
      </c>
      <c r="H48" t="s">
        <v>29</v>
      </c>
      <c r="J48" t="s">
        <v>47</v>
      </c>
      <c r="K48" t="s">
        <v>21</v>
      </c>
      <c r="L48" t="s">
        <v>31</v>
      </c>
      <c r="M48" t="str">
        <f t="shared" si="0"/>
        <v/>
      </c>
      <c r="N48" t="str">
        <f t="shared" ca="1" si="1"/>
        <v>Yes</v>
      </c>
    </row>
    <row r="49" spans="1:14" x14ac:dyDescent="0.3">
      <c r="A49" t="s">
        <v>134</v>
      </c>
      <c r="B49" t="s">
        <v>135</v>
      </c>
      <c r="C49" t="s">
        <v>45</v>
      </c>
      <c r="D49" t="s">
        <v>50</v>
      </c>
      <c r="E49" t="s">
        <v>51</v>
      </c>
      <c r="F49" t="s">
        <v>104</v>
      </c>
      <c r="G49" t="s">
        <v>91</v>
      </c>
      <c r="H49" t="s">
        <v>19</v>
      </c>
      <c r="I49">
        <v>83</v>
      </c>
      <c r="J49" t="s">
        <v>47</v>
      </c>
      <c r="K49" t="s">
        <v>21</v>
      </c>
      <c r="L49" t="s">
        <v>22</v>
      </c>
      <c r="M49">
        <f t="shared" si="0"/>
        <v>10</v>
      </c>
      <c r="N49" t="str">
        <f t="shared" ca="1" si="1"/>
        <v>No</v>
      </c>
    </row>
    <row r="50" spans="1:14" x14ac:dyDescent="0.3">
      <c r="A50" t="s">
        <v>136</v>
      </c>
      <c r="B50" t="s">
        <v>81</v>
      </c>
      <c r="C50" t="s">
        <v>60</v>
      </c>
      <c r="D50" t="s">
        <v>50</v>
      </c>
      <c r="E50" t="s">
        <v>51</v>
      </c>
      <c r="F50" t="s">
        <v>70</v>
      </c>
      <c r="H50" t="s">
        <v>37</v>
      </c>
      <c r="J50" t="s">
        <v>38</v>
      </c>
      <c r="K50" t="s">
        <v>67</v>
      </c>
      <c r="L50" t="s">
        <v>22</v>
      </c>
      <c r="M50" t="str">
        <f t="shared" si="0"/>
        <v/>
      </c>
      <c r="N50" t="str">
        <f t="shared" ca="1" si="1"/>
        <v>Yes</v>
      </c>
    </row>
    <row r="51" spans="1:14" x14ac:dyDescent="0.3">
      <c r="A51" t="s">
        <v>137</v>
      </c>
      <c r="B51" t="s">
        <v>69</v>
      </c>
      <c r="C51" t="s">
        <v>56</v>
      </c>
      <c r="D51" t="s">
        <v>88</v>
      </c>
      <c r="E51" t="s">
        <v>89</v>
      </c>
      <c r="F51" t="s">
        <v>36</v>
      </c>
      <c r="G51" t="s">
        <v>95</v>
      </c>
      <c r="H51" t="s">
        <v>19</v>
      </c>
      <c r="I51">
        <v>84</v>
      </c>
      <c r="J51" t="s">
        <v>47</v>
      </c>
      <c r="K51" t="s">
        <v>30</v>
      </c>
      <c r="L51" t="s">
        <v>22</v>
      </c>
      <c r="M51">
        <f t="shared" si="0"/>
        <v>8</v>
      </c>
      <c r="N51" t="str">
        <f t="shared" ca="1" si="1"/>
        <v>No</v>
      </c>
    </row>
    <row r="52" spans="1:14" x14ac:dyDescent="0.3">
      <c r="A52" t="s">
        <v>138</v>
      </c>
      <c r="B52" t="s">
        <v>94</v>
      </c>
      <c r="C52" t="s">
        <v>60</v>
      </c>
      <c r="D52" t="s">
        <v>50</v>
      </c>
      <c r="E52" t="s">
        <v>51</v>
      </c>
      <c r="F52" t="s">
        <v>111</v>
      </c>
      <c r="H52" t="s">
        <v>37</v>
      </c>
      <c r="J52" t="s">
        <v>47</v>
      </c>
      <c r="K52" t="s">
        <v>58</v>
      </c>
      <c r="L52" t="s">
        <v>22</v>
      </c>
      <c r="M52" t="str">
        <f t="shared" si="0"/>
        <v/>
      </c>
      <c r="N52" t="str">
        <f t="shared" ca="1" si="1"/>
        <v>Yes</v>
      </c>
    </row>
    <row r="53" spans="1:14" x14ac:dyDescent="0.3">
      <c r="A53" t="s">
        <v>139</v>
      </c>
      <c r="B53" t="s">
        <v>140</v>
      </c>
      <c r="C53" t="s">
        <v>42</v>
      </c>
      <c r="D53" t="s">
        <v>26</v>
      </c>
      <c r="E53" t="s">
        <v>27</v>
      </c>
      <c r="F53" t="s">
        <v>57</v>
      </c>
      <c r="H53" t="s">
        <v>29</v>
      </c>
      <c r="J53" t="s">
        <v>20</v>
      </c>
      <c r="K53" t="s">
        <v>67</v>
      </c>
      <c r="L53" t="s">
        <v>31</v>
      </c>
      <c r="M53" t="str">
        <f t="shared" si="0"/>
        <v/>
      </c>
      <c r="N53" t="str">
        <f t="shared" ca="1" si="1"/>
        <v>Yes</v>
      </c>
    </row>
    <row r="54" spans="1:14" x14ac:dyDescent="0.3">
      <c r="A54" t="s">
        <v>141</v>
      </c>
      <c r="B54" t="s">
        <v>55</v>
      </c>
      <c r="C54" t="s">
        <v>60</v>
      </c>
      <c r="D54" t="s">
        <v>26</v>
      </c>
      <c r="E54" t="s">
        <v>27</v>
      </c>
      <c r="F54" t="s">
        <v>17</v>
      </c>
      <c r="H54" t="s">
        <v>29</v>
      </c>
      <c r="J54" t="s">
        <v>47</v>
      </c>
      <c r="K54" t="s">
        <v>58</v>
      </c>
      <c r="L54" t="s">
        <v>31</v>
      </c>
      <c r="M54" t="str">
        <f t="shared" si="0"/>
        <v/>
      </c>
      <c r="N54" t="str">
        <f t="shared" ca="1" si="1"/>
        <v>Yes</v>
      </c>
    </row>
    <row r="55" spans="1:14" x14ac:dyDescent="0.3">
      <c r="A55" t="s">
        <v>142</v>
      </c>
      <c r="B55" t="s">
        <v>49</v>
      </c>
      <c r="C55" t="s">
        <v>14</v>
      </c>
      <c r="D55" t="s">
        <v>61</v>
      </c>
      <c r="E55" t="s">
        <v>62</v>
      </c>
      <c r="F55" t="s">
        <v>18</v>
      </c>
      <c r="G55" t="s">
        <v>143</v>
      </c>
      <c r="H55" t="s">
        <v>19</v>
      </c>
      <c r="I55">
        <v>91</v>
      </c>
      <c r="J55" t="s">
        <v>38</v>
      </c>
      <c r="K55" t="s">
        <v>21</v>
      </c>
      <c r="L55" t="s">
        <v>22</v>
      </c>
      <c r="M55">
        <f t="shared" si="0"/>
        <v>11</v>
      </c>
      <c r="N55" t="str">
        <f t="shared" ca="1" si="1"/>
        <v>No</v>
      </c>
    </row>
    <row r="56" spans="1:14" x14ac:dyDescent="0.3">
      <c r="A56" t="s">
        <v>144</v>
      </c>
      <c r="B56" t="s">
        <v>140</v>
      </c>
      <c r="C56" t="s">
        <v>56</v>
      </c>
      <c r="D56" t="s">
        <v>61</v>
      </c>
      <c r="E56" t="s">
        <v>62</v>
      </c>
      <c r="F56" t="s">
        <v>111</v>
      </c>
      <c r="H56" t="s">
        <v>37</v>
      </c>
      <c r="J56" t="s">
        <v>47</v>
      </c>
      <c r="K56" t="s">
        <v>58</v>
      </c>
      <c r="L56" t="s">
        <v>22</v>
      </c>
      <c r="M56" t="str">
        <f t="shared" si="0"/>
        <v/>
      </c>
      <c r="N56" t="str">
        <f t="shared" ca="1" si="1"/>
        <v>Yes</v>
      </c>
    </row>
    <row r="57" spans="1:14" x14ac:dyDescent="0.3">
      <c r="A57" t="s">
        <v>145</v>
      </c>
      <c r="B57" t="s">
        <v>118</v>
      </c>
      <c r="C57" t="s">
        <v>25</v>
      </c>
      <c r="D57" t="s">
        <v>34</v>
      </c>
      <c r="E57" t="s">
        <v>35</v>
      </c>
      <c r="F57" t="s">
        <v>133</v>
      </c>
      <c r="H57" t="s">
        <v>37</v>
      </c>
      <c r="J57" t="s">
        <v>20</v>
      </c>
      <c r="K57" t="s">
        <v>67</v>
      </c>
      <c r="L57" t="s">
        <v>22</v>
      </c>
      <c r="M57" t="str">
        <f t="shared" si="0"/>
        <v/>
      </c>
      <c r="N57" t="str">
        <f t="shared" ca="1" si="1"/>
        <v>Yes</v>
      </c>
    </row>
    <row r="58" spans="1:14" x14ac:dyDescent="0.3">
      <c r="A58" t="s">
        <v>146</v>
      </c>
      <c r="B58" t="s">
        <v>49</v>
      </c>
      <c r="C58" t="s">
        <v>42</v>
      </c>
      <c r="D58" t="s">
        <v>34</v>
      </c>
      <c r="E58" t="s">
        <v>35</v>
      </c>
      <c r="F58" t="s">
        <v>122</v>
      </c>
      <c r="H58" t="s">
        <v>37</v>
      </c>
      <c r="J58" t="s">
        <v>38</v>
      </c>
      <c r="K58" t="s">
        <v>21</v>
      </c>
      <c r="L58" t="s">
        <v>22</v>
      </c>
      <c r="M58" t="str">
        <f t="shared" si="0"/>
        <v/>
      </c>
      <c r="N58" t="str">
        <f t="shared" ca="1" si="1"/>
        <v>Yes</v>
      </c>
    </row>
    <row r="59" spans="1:14" x14ac:dyDescent="0.3">
      <c r="A59" t="s">
        <v>147</v>
      </c>
      <c r="B59" t="s">
        <v>94</v>
      </c>
      <c r="C59" t="s">
        <v>42</v>
      </c>
      <c r="D59" t="s">
        <v>88</v>
      </c>
      <c r="E59" t="s">
        <v>89</v>
      </c>
      <c r="F59" t="s">
        <v>71</v>
      </c>
      <c r="G59" t="s">
        <v>18</v>
      </c>
      <c r="H59" t="s">
        <v>19</v>
      </c>
      <c r="I59">
        <v>74</v>
      </c>
      <c r="J59" t="s">
        <v>47</v>
      </c>
      <c r="K59" t="s">
        <v>30</v>
      </c>
      <c r="L59" t="s">
        <v>22</v>
      </c>
      <c r="M59">
        <f t="shared" si="0"/>
        <v>6</v>
      </c>
      <c r="N59" t="str">
        <f t="shared" ca="1" si="1"/>
        <v>No</v>
      </c>
    </row>
    <row r="60" spans="1:14" x14ac:dyDescent="0.3">
      <c r="A60" t="s">
        <v>148</v>
      </c>
      <c r="B60" t="s">
        <v>140</v>
      </c>
      <c r="C60" t="s">
        <v>45</v>
      </c>
      <c r="D60" t="s">
        <v>15</v>
      </c>
      <c r="E60" t="s">
        <v>16</v>
      </c>
      <c r="F60" t="s">
        <v>133</v>
      </c>
      <c r="G60" t="s">
        <v>28</v>
      </c>
      <c r="H60" t="s">
        <v>19</v>
      </c>
      <c r="I60">
        <v>86</v>
      </c>
      <c r="J60" t="s">
        <v>20</v>
      </c>
      <c r="K60" t="s">
        <v>58</v>
      </c>
      <c r="L60" t="s">
        <v>22</v>
      </c>
      <c r="M60">
        <f t="shared" si="0"/>
        <v>11</v>
      </c>
      <c r="N60" t="str">
        <f t="shared" ca="1" si="1"/>
        <v>No</v>
      </c>
    </row>
    <row r="61" spans="1:14" x14ac:dyDescent="0.3">
      <c r="A61" t="s">
        <v>149</v>
      </c>
      <c r="B61" t="s">
        <v>13</v>
      </c>
      <c r="C61" t="s">
        <v>14</v>
      </c>
      <c r="D61" t="s">
        <v>34</v>
      </c>
      <c r="E61" t="s">
        <v>35</v>
      </c>
      <c r="F61" t="s">
        <v>52</v>
      </c>
      <c r="G61" t="s">
        <v>107</v>
      </c>
      <c r="H61" t="s">
        <v>19</v>
      </c>
      <c r="I61">
        <v>81</v>
      </c>
      <c r="J61" t="s">
        <v>20</v>
      </c>
      <c r="K61" t="s">
        <v>39</v>
      </c>
      <c r="L61" t="s">
        <v>22</v>
      </c>
      <c r="M61">
        <f t="shared" si="0"/>
        <v>4</v>
      </c>
      <c r="N61" t="str">
        <f t="shared" ca="1" si="1"/>
        <v>No</v>
      </c>
    </row>
    <row r="62" spans="1:14" x14ac:dyDescent="0.3">
      <c r="A62" t="s">
        <v>150</v>
      </c>
      <c r="B62" t="s">
        <v>13</v>
      </c>
      <c r="C62" t="s">
        <v>25</v>
      </c>
      <c r="D62" t="s">
        <v>88</v>
      </c>
      <c r="E62" t="s">
        <v>89</v>
      </c>
      <c r="F62" t="s">
        <v>107</v>
      </c>
      <c r="H62" t="s">
        <v>29</v>
      </c>
      <c r="J62" t="s">
        <v>20</v>
      </c>
      <c r="K62" t="s">
        <v>58</v>
      </c>
      <c r="L62" t="s">
        <v>31</v>
      </c>
      <c r="M62" t="str">
        <f t="shared" si="0"/>
        <v/>
      </c>
      <c r="N62" t="str">
        <f t="shared" ca="1" si="1"/>
        <v>Yes</v>
      </c>
    </row>
    <row r="63" spans="1:14" x14ac:dyDescent="0.3">
      <c r="A63" t="s">
        <v>151</v>
      </c>
      <c r="B63" t="s">
        <v>140</v>
      </c>
      <c r="C63" t="s">
        <v>42</v>
      </c>
      <c r="D63" t="s">
        <v>34</v>
      </c>
      <c r="E63" t="s">
        <v>35</v>
      </c>
      <c r="F63" t="s">
        <v>52</v>
      </c>
      <c r="H63" t="s">
        <v>29</v>
      </c>
      <c r="J63" t="s">
        <v>20</v>
      </c>
      <c r="K63" t="s">
        <v>39</v>
      </c>
      <c r="L63" t="s">
        <v>31</v>
      </c>
      <c r="M63" t="str">
        <f t="shared" si="0"/>
        <v/>
      </c>
      <c r="N63" t="str">
        <f t="shared" ca="1" si="1"/>
        <v>Yes</v>
      </c>
    </row>
    <row r="64" spans="1:14" x14ac:dyDescent="0.3">
      <c r="A64" t="s">
        <v>152</v>
      </c>
      <c r="B64" t="s">
        <v>140</v>
      </c>
      <c r="C64" t="s">
        <v>45</v>
      </c>
      <c r="D64" t="s">
        <v>34</v>
      </c>
      <c r="E64" t="s">
        <v>35</v>
      </c>
      <c r="F64" t="s">
        <v>63</v>
      </c>
      <c r="H64" t="s">
        <v>29</v>
      </c>
      <c r="J64" t="s">
        <v>38</v>
      </c>
      <c r="K64" t="s">
        <v>39</v>
      </c>
      <c r="L64" t="s">
        <v>31</v>
      </c>
      <c r="M64" t="str">
        <f t="shared" si="0"/>
        <v/>
      </c>
      <c r="N64" t="str">
        <f t="shared" ca="1" si="1"/>
        <v>Yes</v>
      </c>
    </row>
    <row r="65" spans="1:14" x14ac:dyDescent="0.3">
      <c r="A65" t="s">
        <v>153</v>
      </c>
      <c r="B65" t="s">
        <v>41</v>
      </c>
      <c r="C65" t="s">
        <v>60</v>
      </c>
      <c r="D65" t="s">
        <v>26</v>
      </c>
      <c r="E65" t="s">
        <v>27</v>
      </c>
      <c r="F65" t="s">
        <v>17</v>
      </c>
      <c r="H65" t="s">
        <v>29</v>
      </c>
      <c r="J65" t="s">
        <v>20</v>
      </c>
      <c r="K65" t="s">
        <v>58</v>
      </c>
      <c r="L65" t="s">
        <v>31</v>
      </c>
      <c r="M65" t="str">
        <f t="shared" si="0"/>
        <v/>
      </c>
      <c r="N65" t="str">
        <f t="shared" ca="1" si="1"/>
        <v>Yes</v>
      </c>
    </row>
    <row r="66" spans="1:14" x14ac:dyDescent="0.3">
      <c r="A66" t="s">
        <v>154</v>
      </c>
      <c r="B66" t="s">
        <v>69</v>
      </c>
      <c r="C66" t="s">
        <v>25</v>
      </c>
      <c r="D66" t="s">
        <v>34</v>
      </c>
      <c r="E66" t="s">
        <v>35</v>
      </c>
      <c r="F66" t="s">
        <v>111</v>
      </c>
      <c r="G66" t="s">
        <v>82</v>
      </c>
      <c r="H66" t="s">
        <v>19</v>
      </c>
      <c r="I66">
        <v>79</v>
      </c>
      <c r="J66" t="s">
        <v>47</v>
      </c>
      <c r="K66" t="s">
        <v>21</v>
      </c>
      <c r="L66" t="s">
        <v>22</v>
      </c>
      <c r="M66">
        <f t="shared" si="0"/>
        <v>4</v>
      </c>
      <c r="N66" t="str">
        <f t="shared" ca="1" si="1"/>
        <v>No</v>
      </c>
    </row>
    <row r="67" spans="1:14" x14ac:dyDescent="0.3">
      <c r="A67" t="s">
        <v>155</v>
      </c>
      <c r="B67" t="s">
        <v>73</v>
      </c>
      <c r="C67" t="s">
        <v>14</v>
      </c>
      <c r="D67" t="s">
        <v>15</v>
      </c>
      <c r="E67" t="s">
        <v>16</v>
      </c>
      <c r="F67" t="s">
        <v>17</v>
      </c>
      <c r="H67" t="s">
        <v>37</v>
      </c>
      <c r="J67" t="s">
        <v>47</v>
      </c>
      <c r="K67" t="s">
        <v>21</v>
      </c>
      <c r="L67" t="s">
        <v>22</v>
      </c>
      <c r="M67" t="str">
        <f t="shared" ref="M67:M130" si="2">IF(G67="","",DATEDIF(F67,G67,"D"))</f>
        <v/>
      </c>
      <c r="N67" t="str">
        <f t="shared" ref="N67:N130" ca="1" si="3">IF(AND(H67&lt;&gt;"completed",TODAY()-F67&gt;30),"Yes","No")</f>
        <v>Yes</v>
      </c>
    </row>
    <row r="68" spans="1:14" x14ac:dyDescent="0.3">
      <c r="A68" t="s">
        <v>156</v>
      </c>
      <c r="B68" t="s">
        <v>135</v>
      </c>
      <c r="C68" t="s">
        <v>56</v>
      </c>
      <c r="D68" t="s">
        <v>15</v>
      </c>
      <c r="E68" t="s">
        <v>16</v>
      </c>
      <c r="F68" t="s">
        <v>85</v>
      </c>
      <c r="G68" t="s">
        <v>53</v>
      </c>
      <c r="H68" t="s">
        <v>19</v>
      </c>
      <c r="I68">
        <v>80</v>
      </c>
      <c r="J68" t="s">
        <v>20</v>
      </c>
      <c r="K68" t="s">
        <v>58</v>
      </c>
      <c r="L68" t="s">
        <v>22</v>
      </c>
      <c r="M68">
        <f t="shared" si="2"/>
        <v>3</v>
      </c>
      <c r="N68" t="str">
        <f t="shared" ca="1" si="3"/>
        <v>No</v>
      </c>
    </row>
    <row r="69" spans="1:14" x14ac:dyDescent="0.3">
      <c r="A69" t="s">
        <v>157</v>
      </c>
      <c r="B69" t="s">
        <v>84</v>
      </c>
      <c r="C69" t="s">
        <v>42</v>
      </c>
      <c r="D69" t="s">
        <v>88</v>
      </c>
      <c r="E69" t="s">
        <v>89</v>
      </c>
      <c r="F69" t="s">
        <v>85</v>
      </c>
      <c r="H69" t="s">
        <v>29</v>
      </c>
      <c r="J69" t="s">
        <v>38</v>
      </c>
      <c r="K69" t="s">
        <v>21</v>
      </c>
      <c r="L69" t="s">
        <v>31</v>
      </c>
      <c r="M69" t="str">
        <f t="shared" si="2"/>
        <v/>
      </c>
      <c r="N69" t="str">
        <f t="shared" ca="1" si="3"/>
        <v>Yes</v>
      </c>
    </row>
    <row r="70" spans="1:14" x14ac:dyDescent="0.3">
      <c r="A70" t="s">
        <v>158</v>
      </c>
      <c r="B70" t="s">
        <v>73</v>
      </c>
      <c r="C70" t="s">
        <v>42</v>
      </c>
      <c r="D70" t="s">
        <v>15</v>
      </c>
      <c r="E70" t="s">
        <v>16</v>
      </c>
      <c r="F70" t="s">
        <v>28</v>
      </c>
      <c r="H70" t="s">
        <v>37</v>
      </c>
      <c r="J70" t="s">
        <v>38</v>
      </c>
      <c r="K70" t="s">
        <v>21</v>
      </c>
      <c r="L70" t="s">
        <v>22</v>
      </c>
      <c r="M70" t="str">
        <f t="shared" si="2"/>
        <v/>
      </c>
      <c r="N70" t="str">
        <f t="shared" ca="1" si="3"/>
        <v>Yes</v>
      </c>
    </row>
    <row r="71" spans="1:14" x14ac:dyDescent="0.3">
      <c r="A71" t="s">
        <v>159</v>
      </c>
      <c r="B71" t="s">
        <v>118</v>
      </c>
      <c r="C71" t="s">
        <v>56</v>
      </c>
      <c r="D71" t="s">
        <v>88</v>
      </c>
      <c r="E71" t="s">
        <v>89</v>
      </c>
      <c r="F71" t="s">
        <v>85</v>
      </c>
      <c r="H71" t="s">
        <v>29</v>
      </c>
      <c r="J71" t="s">
        <v>47</v>
      </c>
      <c r="K71" t="s">
        <v>39</v>
      </c>
      <c r="L71" t="s">
        <v>31</v>
      </c>
      <c r="M71" t="str">
        <f t="shared" si="2"/>
        <v/>
      </c>
      <c r="N71" t="str">
        <f t="shared" ca="1" si="3"/>
        <v>Yes</v>
      </c>
    </row>
    <row r="72" spans="1:14" x14ac:dyDescent="0.3">
      <c r="A72" t="s">
        <v>160</v>
      </c>
      <c r="B72" t="s">
        <v>69</v>
      </c>
      <c r="C72" t="s">
        <v>42</v>
      </c>
      <c r="D72" t="s">
        <v>26</v>
      </c>
      <c r="E72" t="s">
        <v>27</v>
      </c>
      <c r="F72" t="s">
        <v>85</v>
      </c>
      <c r="G72" t="s">
        <v>161</v>
      </c>
      <c r="H72" t="s">
        <v>19</v>
      </c>
      <c r="I72">
        <v>94</v>
      </c>
      <c r="J72" t="s">
        <v>47</v>
      </c>
      <c r="K72" t="s">
        <v>21</v>
      </c>
      <c r="L72" t="s">
        <v>22</v>
      </c>
      <c r="M72">
        <f t="shared" si="2"/>
        <v>12</v>
      </c>
      <c r="N72" t="str">
        <f t="shared" ca="1" si="3"/>
        <v>No</v>
      </c>
    </row>
    <row r="73" spans="1:14" x14ac:dyDescent="0.3">
      <c r="A73" t="s">
        <v>162</v>
      </c>
      <c r="B73" t="s">
        <v>163</v>
      </c>
      <c r="C73" t="s">
        <v>14</v>
      </c>
      <c r="D73" t="s">
        <v>34</v>
      </c>
      <c r="E73" t="s">
        <v>35</v>
      </c>
      <c r="F73" t="s">
        <v>63</v>
      </c>
      <c r="H73" t="s">
        <v>37</v>
      </c>
      <c r="J73" t="s">
        <v>20</v>
      </c>
      <c r="K73" t="s">
        <v>30</v>
      </c>
      <c r="L73" t="s">
        <v>22</v>
      </c>
      <c r="M73" t="str">
        <f t="shared" si="2"/>
        <v/>
      </c>
      <c r="N73" t="str">
        <f t="shared" ca="1" si="3"/>
        <v>Yes</v>
      </c>
    </row>
    <row r="74" spans="1:14" x14ac:dyDescent="0.3">
      <c r="A74" t="s">
        <v>164</v>
      </c>
      <c r="B74" t="s">
        <v>165</v>
      </c>
      <c r="C74" t="s">
        <v>56</v>
      </c>
      <c r="D74" t="s">
        <v>88</v>
      </c>
      <c r="E74" t="s">
        <v>89</v>
      </c>
      <c r="F74" t="s">
        <v>66</v>
      </c>
      <c r="H74" t="s">
        <v>29</v>
      </c>
      <c r="J74" t="s">
        <v>20</v>
      </c>
      <c r="K74" t="s">
        <v>39</v>
      </c>
      <c r="L74" t="s">
        <v>31</v>
      </c>
      <c r="M74" t="str">
        <f t="shared" si="2"/>
        <v/>
      </c>
      <c r="N74" t="str">
        <f t="shared" ca="1" si="3"/>
        <v>Yes</v>
      </c>
    </row>
    <row r="75" spans="1:14" x14ac:dyDescent="0.3">
      <c r="A75" t="s">
        <v>166</v>
      </c>
      <c r="B75" t="s">
        <v>73</v>
      </c>
      <c r="C75" t="s">
        <v>45</v>
      </c>
      <c r="D75" t="s">
        <v>61</v>
      </c>
      <c r="E75" t="s">
        <v>62</v>
      </c>
      <c r="F75" t="s">
        <v>167</v>
      </c>
      <c r="G75" t="s">
        <v>111</v>
      </c>
      <c r="H75" t="s">
        <v>19</v>
      </c>
      <c r="I75">
        <v>85</v>
      </c>
      <c r="J75" t="s">
        <v>47</v>
      </c>
      <c r="K75" t="s">
        <v>67</v>
      </c>
      <c r="L75" t="s">
        <v>22</v>
      </c>
      <c r="M75">
        <f t="shared" si="2"/>
        <v>3</v>
      </c>
      <c r="N75" t="str">
        <f t="shared" ca="1" si="3"/>
        <v>No</v>
      </c>
    </row>
    <row r="76" spans="1:14" x14ac:dyDescent="0.3">
      <c r="A76" t="s">
        <v>168</v>
      </c>
      <c r="B76" t="s">
        <v>114</v>
      </c>
      <c r="C76" t="s">
        <v>45</v>
      </c>
      <c r="D76" t="s">
        <v>26</v>
      </c>
      <c r="E76" t="s">
        <v>27</v>
      </c>
      <c r="F76" t="s">
        <v>77</v>
      </c>
      <c r="H76" t="s">
        <v>37</v>
      </c>
      <c r="J76" t="s">
        <v>38</v>
      </c>
      <c r="K76" t="s">
        <v>39</v>
      </c>
      <c r="L76" t="s">
        <v>22</v>
      </c>
      <c r="M76" t="str">
        <f t="shared" si="2"/>
        <v/>
      </c>
      <c r="N76" t="str">
        <f t="shared" ca="1" si="3"/>
        <v>Yes</v>
      </c>
    </row>
    <row r="77" spans="1:14" x14ac:dyDescent="0.3">
      <c r="A77" t="s">
        <v>169</v>
      </c>
      <c r="B77" t="s">
        <v>65</v>
      </c>
      <c r="C77" t="s">
        <v>56</v>
      </c>
      <c r="D77" t="s">
        <v>88</v>
      </c>
      <c r="E77" t="s">
        <v>89</v>
      </c>
      <c r="F77" t="s">
        <v>111</v>
      </c>
      <c r="H77" t="s">
        <v>37</v>
      </c>
      <c r="J77" t="s">
        <v>20</v>
      </c>
      <c r="K77" t="s">
        <v>30</v>
      </c>
      <c r="L77" t="s">
        <v>22</v>
      </c>
      <c r="M77" t="str">
        <f t="shared" si="2"/>
        <v/>
      </c>
      <c r="N77" t="str">
        <f t="shared" ca="1" si="3"/>
        <v>Yes</v>
      </c>
    </row>
    <row r="78" spans="1:14" x14ac:dyDescent="0.3">
      <c r="A78" t="s">
        <v>170</v>
      </c>
      <c r="B78" t="s">
        <v>41</v>
      </c>
      <c r="C78" t="s">
        <v>56</v>
      </c>
      <c r="D78" t="s">
        <v>34</v>
      </c>
      <c r="E78" t="s">
        <v>35</v>
      </c>
      <c r="F78" t="s">
        <v>79</v>
      </c>
      <c r="G78" t="s">
        <v>143</v>
      </c>
      <c r="H78" t="s">
        <v>19</v>
      </c>
      <c r="I78">
        <v>81</v>
      </c>
      <c r="J78" t="s">
        <v>47</v>
      </c>
      <c r="K78" t="s">
        <v>67</v>
      </c>
      <c r="L78" t="s">
        <v>22</v>
      </c>
      <c r="M78">
        <f t="shared" si="2"/>
        <v>9</v>
      </c>
      <c r="N78" t="str">
        <f t="shared" ca="1" si="3"/>
        <v>No</v>
      </c>
    </row>
    <row r="79" spans="1:14" x14ac:dyDescent="0.3">
      <c r="A79" t="s">
        <v>171</v>
      </c>
      <c r="B79" t="s">
        <v>24</v>
      </c>
      <c r="C79" t="s">
        <v>25</v>
      </c>
      <c r="D79" t="s">
        <v>15</v>
      </c>
      <c r="E79" t="s">
        <v>16</v>
      </c>
      <c r="F79" t="s">
        <v>17</v>
      </c>
      <c r="H79" t="s">
        <v>29</v>
      </c>
      <c r="J79" t="s">
        <v>38</v>
      </c>
      <c r="K79" t="s">
        <v>21</v>
      </c>
      <c r="L79" t="s">
        <v>31</v>
      </c>
      <c r="M79" t="str">
        <f t="shared" si="2"/>
        <v/>
      </c>
      <c r="N79" t="str">
        <f t="shared" ca="1" si="3"/>
        <v>Yes</v>
      </c>
    </row>
    <row r="80" spans="1:14" x14ac:dyDescent="0.3">
      <c r="A80" t="s">
        <v>172</v>
      </c>
      <c r="B80" t="s">
        <v>13</v>
      </c>
      <c r="C80" t="s">
        <v>45</v>
      </c>
      <c r="D80" t="s">
        <v>50</v>
      </c>
      <c r="E80" t="s">
        <v>51</v>
      </c>
      <c r="F80" t="s">
        <v>104</v>
      </c>
      <c r="H80" t="s">
        <v>29</v>
      </c>
      <c r="J80" t="s">
        <v>47</v>
      </c>
      <c r="K80" t="s">
        <v>39</v>
      </c>
      <c r="L80" t="s">
        <v>31</v>
      </c>
      <c r="M80" t="str">
        <f t="shared" si="2"/>
        <v/>
      </c>
      <c r="N80" t="str">
        <f t="shared" ca="1" si="3"/>
        <v>Yes</v>
      </c>
    </row>
    <row r="81" spans="1:14" x14ac:dyDescent="0.3">
      <c r="A81" t="s">
        <v>173</v>
      </c>
      <c r="B81" t="s">
        <v>165</v>
      </c>
      <c r="C81" t="s">
        <v>25</v>
      </c>
      <c r="D81" t="s">
        <v>61</v>
      </c>
      <c r="E81" t="s">
        <v>62</v>
      </c>
      <c r="F81" t="s">
        <v>52</v>
      </c>
      <c r="H81" t="s">
        <v>37</v>
      </c>
      <c r="J81" t="s">
        <v>20</v>
      </c>
      <c r="K81" t="s">
        <v>21</v>
      </c>
      <c r="L81" t="s">
        <v>22</v>
      </c>
      <c r="M81" t="str">
        <f t="shared" si="2"/>
        <v/>
      </c>
      <c r="N81" t="str">
        <f t="shared" ca="1" si="3"/>
        <v>Yes</v>
      </c>
    </row>
    <row r="82" spans="1:14" x14ac:dyDescent="0.3">
      <c r="A82" t="s">
        <v>174</v>
      </c>
      <c r="B82" t="s">
        <v>114</v>
      </c>
      <c r="C82" t="s">
        <v>60</v>
      </c>
      <c r="D82" t="s">
        <v>50</v>
      </c>
      <c r="E82" t="s">
        <v>51</v>
      </c>
      <c r="F82" t="s">
        <v>53</v>
      </c>
      <c r="H82" t="s">
        <v>37</v>
      </c>
      <c r="J82" t="s">
        <v>38</v>
      </c>
      <c r="K82" t="s">
        <v>21</v>
      </c>
      <c r="L82" t="s">
        <v>22</v>
      </c>
      <c r="M82" t="str">
        <f t="shared" si="2"/>
        <v/>
      </c>
      <c r="N82" t="str">
        <f t="shared" ca="1" si="3"/>
        <v>Yes</v>
      </c>
    </row>
    <row r="83" spans="1:14" x14ac:dyDescent="0.3">
      <c r="A83" t="s">
        <v>175</v>
      </c>
      <c r="B83" t="s">
        <v>118</v>
      </c>
      <c r="C83" t="s">
        <v>60</v>
      </c>
      <c r="D83" t="s">
        <v>61</v>
      </c>
      <c r="E83" t="s">
        <v>62</v>
      </c>
      <c r="F83" t="s">
        <v>111</v>
      </c>
      <c r="G83" t="s">
        <v>122</v>
      </c>
      <c r="H83" t="s">
        <v>19</v>
      </c>
      <c r="I83">
        <v>85</v>
      </c>
      <c r="J83" t="s">
        <v>38</v>
      </c>
      <c r="K83" t="s">
        <v>30</v>
      </c>
      <c r="L83" t="s">
        <v>22</v>
      </c>
      <c r="M83">
        <f t="shared" si="2"/>
        <v>9</v>
      </c>
      <c r="N83" t="str">
        <f t="shared" ca="1" si="3"/>
        <v>No</v>
      </c>
    </row>
    <row r="84" spans="1:14" x14ac:dyDescent="0.3">
      <c r="A84" t="s">
        <v>176</v>
      </c>
      <c r="B84" t="s">
        <v>114</v>
      </c>
      <c r="C84" t="s">
        <v>42</v>
      </c>
      <c r="D84" t="s">
        <v>50</v>
      </c>
      <c r="E84" t="s">
        <v>51</v>
      </c>
      <c r="F84" t="s">
        <v>66</v>
      </c>
      <c r="H84" t="s">
        <v>37</v>
      </c>
      <c r="J84" t="s">
        <v>38</v>
      </c>
      <c r="K84" t="s">
        <v>21</v>
      </c>
      <c r="L84" t="s">
        <v>22</v>
      </c>
      <c r="M84" t="str">
        <f t="shared" si="2"/>
        <v/>
      </c>
      <c r="N84" t="str">
        <f t="shared" ca="1" si="3"/>
        <v>Yes</v>
      </c>
    </row>
    <row r="85" spans="1:14" x14ac:dyDescent="0.3">
      <c r="A85" t="s">
        <v>177</v>
      </c>
      <c r="B85" t="s">
        <v>24</v>
      </c>
      <c r="C85" t="s">
        <v>14</v>
      </c>
      <c r="D85" t="s">
        <v>15</v>
      </c>
      <c r="E85" t="s">
        <v>16</v>
      </c>
      <c r="F85" t="s">
        <v>111</v>
      </c>
      <c r="G85" t="s">
        <v>77</v>
      </c>
      <c r="H85" t="s">
        <v>19</v>
      </c>
      <c r="I85">
        <v>91</v>
      </c>
      <c r="J85" t="s">
        <v>47</v>
      </c>
      <c r="K85" t="s">
        <v>30</v>
      </c>
      <c r="L85" t="s">
        <v>22</v>
      </c>
      <c r="M85">
        <f t="shared" si="2"/>
        <v>6</v>
      </c>
      <c r="N85" t="str">
        <f t="shared" ca="1" si="3"/>
        <v>No</v>
      </c>
    </row>
    <row r="86" spans="1:14" x14ac:dyDescent="0.3">
      <c r="A86" t="s">
        <v>178</v>
      </c>
      <c r="B86" t="s">
        <v>163</v>
      </c>
      <c r="C86" t="s">
        <v>25</v>
      </c>
      <c r="D86" t="s">
        <v>34</v>
      </c>
      <c r="E86" t="s">
        <v>35</v>
      </c>
      <c r="F86" t="s">
        <v>104</v>
      </c>
      <c r="H86" t="s">
        <v>29</v>
      </c>
      <c r="J86" t="s">
        <v>38</v>
      </c>
      <c r="K86" t="s">
        <v>67</v>
      </c>
      <c r="L86" t="s">
        <v>31</v>
      </c>
      <c r="M86" t="str">
        <f t="shared" si="2"/>
        <v/>
      </c>
      <c r="N86" t="str">
        <f t="shared" ca="1" si="3"/>
        <v>Yes</v>
      </c>
    </row>
    <row r="87" spans="1:14" x14ac:dyDescent="0.3">
      <c r="A87" t="s">
        <v>179</v>
      </c>
      <c r="B87" t="s">
        <v>163</v>
      </c>
      <c r="C87" t="s">
        <v>42</v>
      </c>
      <c r="D87" t="s">
        <v>50</v>
      </c>
      <c r="E87" t="s">
        <v>51</v>
      </c>
      <c r="F87" t="s">
        <v>57</v>
      </c>
      <c r="G87" t="s">
        <v>43</v>
      </c>
      <c r="H87" t="s">
        <v>19</v>
      </c>
      <c r="I87">
        <v>82</v>
      </c>
      <c r="J87" t="s">
        <v>20</v>
      </c>
      <c r="K87" t="s">
        <v>39</v>
      </c>
      <c r="L87" t="s">
        <v>22</v>
      </c>
      <c r="M87">
        <f t="shared" si="2"/>
        <v>10</v>
      </c>
      <c r="N87" t="str">
        <f t="shared" ca="1" si="3"/>
        <v>No</v>
      </c>
    </row>
    <row r="88" spans="1:14" x14ac:dyDescent="0.3">
      <c r="A88" t="s">
        <v>180</v>
      </c>
      <c r="B88" t="s">
        <v>140</v>
      </c>
      <c r="C88" t="s">
        <v>42</v>
      </c>
      <c r="D88" t="s">
        <v>88</v>
      </c>
      <c r="E88" t="s">
        <v>89</v>
      </c>
      <c r="F88" t="s">
        <v>36</v>
      </c>
      <c r="G88" t="s">
        <v>57</v>
      </c>
      <c r="H88" t="s">
        <v>19</v>
      </c>
      <c r="I88">
        <v>86</v>
      </c>
      <c r="J88" t="s">
        <v>20</v>
      </c>
      <c r="K88" t="s">
        <v>67</v>
      </c>
      <c r="L88" t="s">
        <v>22</v>
      </c>
      <c r="M88">
        <f t="shared" si="2"/>
        <v>3</v>
      </c>
      <c r="N88" t="str">
        <f t="shared" ca="1" si="3"/>
        <v>No</v>
      </c>
    </row>
    <row r="89" spans="1:14" x14ac:dyDescent="0.3">
      <c r="A89" t="s">
        <v>181</v>
      </c>
      <c r="B89" t="s">
        <v>135</v>
      </c>
      <c r="C89" t="s">
        <v>56</v>
      </c>
      <c r="D89" t="s">
        <v>26</v>
      </c>
      <c r="E89" t="s">
        <v>27</v>
      </c>
      <c r="F89" t="s">
        <v>77</v>
      </c>
      <c r="H89" t="s">
        <v>37</v>
      </c>
      <c r="J89" t="s">
        <v>20</v>
      </c>
      <c r="K89" t="s">
        <v>58</v>
      </c>
      <c r="L89" t="s">
        <v>22</v>
      </c>
      <c r="M89" t="str">
        <f t="shared" si="2"/>
        <v/>
      </c>
      <c r="N89" t="str">
        <f t="shared" ca="1" si="3"/>
        <v>Yes</v>
      </c>
    </row>
    <row r="90" spans="1:14" x14ac:dyDescent="0.3">
      <c r="A90" t="s">
        <v>182</v>
      </c>
      <c r="B90" t="s">
        <v>114</v>
      </c>
      <c r="C90" t="s">
        <v>14</v>
      </c>
      <c r="D90" t="s">
        <v>88</v>
      </c>
      <c r="E90" t="s">
        <v>89</v>
      </c>
      <c r="F90" t="s">
        <v>17</v>
      </c>
      <c r="H90" t="s">
        <v>29</v>
      </c>
      <c r="J90" t="s">
        <v>20</v>
      </c>
      <c r="K90" t="s">
        <v>39</v>
      </c>
      <c r="L90" t="s">
        <v>31</v>
      </c>
      <c r="M90" t="str">
        <f t="shared" si="2"/>
        <v/>
      </c>
      <c r="N90" t="str">
        <f t="shared" ca="1" si="3"/>
        <v>Yes</v>
      </c>
    </row>
    <row r="91" spans="1:14" x14ac:dyDescent="0.3">
      <c r="A91" t="s">
        <v>183</v>
      </c>
      <c r="B91" t="s">
        <v>84</v>
      </c>
      <c r="C91" t="s">
        <v>25</v>
      </c>
      <c r="D91" t="s">
        <v>50</v>
      </c>
      <c r="E91" t="s">
        <v>51</v>
      </c>
      <c r="F91" t="s">
        <v>184</v>
      </c>
      <c r="H91" t="s">
        <v>37</v>
      </c>
      <c r="J91" t="s">
        <v>20</v>
      </c>
      <c r="K91" t="s">
        <v>67</v>
      </c>
      <c r="L91" t="s">
        <v>22</v>
      </c>
      <c r="M91" t="str">
        <f t="shared" si="2"/>
        <v/>
      </c>
      <c r="N91" t="str">
        <f t="shared" ca="1" si="3"/>
        <v>Yes</v>
      </c>
    </row>
    <row r="92" spans="1:14" x14ac:dyDescent="0.3">
      <c r="A92" t="s">
        <v>185</v>
      </c>
      <c r="B92" t="s">
        <v>84</v>
      </c>
      <c r="C92" t="s">
        <v>42</v>
      </c>
      <c r="D92" t="s">
        <v>50</v>
      </c>
      <c r="E92" t="s">
        <v>51</v>
      </c>
      <c r="F92" t="s">
        <v>57</v>
      </c>
      <c r="H92" t="s">
        <v>29</v>
      </c>
      <c r="J92" t="s">
        <v>47</v>
      </c>
      <c r="K92" t="s">
        <v>21</v>
      </c>
      <c r="L92" t="s">
        <v>31</v>
      </c>
      <c r="M92" t="str">
        <f t="shared" si="2"/>
        <v/>
      </c>
      <c r="N92" t="str">
        <f t="shared" ca="1" si="3"/>
        <v>Yes</v>
      </c>
    </row>
    <row r="93" spans="1:14" x14ac:dyDescent="0.3">
      <c r="A93" t="s">
        <v>186</v>
      </c>
      <c r="B93" t="s">
        <v>49</v>
      </c>
      <c r="C93" t="s">
        <v>42</v>
      </c>
      <c r="D93" t="s">
        <v>88</v>
      </c>
      <c r="E93" t="s">
        <v>89</v>
      </c>
      <c r="F93" t="s">
        <v>36</v>
      </c>
      <c r="G93" t="s">
        <v>57</v>
      </c>
      <c r="H93" t="s">
        <v>19</v>
      </c>
      <c r="I93">
        <v>92</v>
      </c>
      <c r="J93" t="s">
        <v>47</v>
      </c>
      <c r="K93" t="s">
        <v>58</v>
      </c>
      <c r="L93" t="s">
        <v>22</v>
      </c>
      <c r="M93">
        <f t="shared" si="2"/>
        <v>3</v>
      </c>
      <c r="N93" t="str">
        <f t="shared" ca="1" si="3"/>
        <v>No</v>
      </c>
    </row>
    <row r="94" spans="1:14" x14ac:dyDescent="0.3">
      <c r="A94" t="s">
        <v>187</v>
      </c>
      <c r="B94" t="s">
        <v>94</v>
      </c>
      <c r="C94" t="s">
        <v>14</v>
      </c>
      <c r="D94" t="s">
        <v>50</v>
      </c>
      <c r="E94" t="s">
        <v>51</v>
      </c>
      <c r="F94" t="s">
        <v>46</v>
      </c>
      <c r="H94" t="s">
        <v>37</v>
      </c>
      <c r="J94" t="s">
        <v>20</v>
      </c>
      <c r="K94" t="s">
        <v>21</v>
      </c>
      <c r="L94" t="s">
        <v>22</v>
      </c>
      <c r="M94" t="str">
        <f t="shared" si="2"/>
        <v/>
      </c>
      <c r="N94" t="str">
        <f t="shared" ca="1" si="3"/>
        <v>Yes</v>
      </c>
    </row>
    <row r="95" spans="1:14" x14ac:dyDescent="0.3">
      <c r="A95" t="s">
        <v>188</v>
      </c>
      <c r="B95" t="s">
        <v>81</v>
      </c>
      <c r="C95" t="s">
        <v>14</v>
      </c>
      <c r="D95" t="s">
        <v>88</v>
      </c>
      <c r="E95" t="s">
        <v>89</v>
      </c>
      <c r="F95" t="s">
        <v>111</v>
      </c>
      <c r="H95" t="s">
        <v>37</v>
      </c>
      <c r="J95" t="s">
        <v>47</v>
      </c>
      <c r="K95" t="s">
        <v>58</v>
      </c>
      <c r="L95" t="s">
        <v>22</v>
      </c>
      <c r="M95" t="str">
        <f t="shared" si="2"/>
        <v/>
      </c>
      <c r="N95" t="str">
        <f t="shared" ca="1" si="3"/>
        <v>Yes</v>
      </c>
    </row>
    <row r="96" spans="1:14" x14ac:dyDescent="0.3">
      <c r="A96" t="s">
        <v>189</v>
      </c>
      <c r="B96" t="s">
        <v>84</v>
      </c>
      <c r="C96" t="s">
        <v>25</v>
      </c>
      <c r="D96" t="s">
        <v>15</v>
      </c>
      <c r="E96" t="s">
        <v>16</v>
      </c>
      <c r="F96" t="s">
        <v>85</v>
      </c>
      <c r="G96" t="s">
        <v>53</v>
      </c>
      <c r="H96" t="s">
        <v>19</v>
      </c>
      <c r="I96">
        <v>82</v>
      </c>
      <c r="J96" t="s">
        <v>20</v>
      </c>
      <c r="K96" t="s">
        <v>30</v>
      </c>
      <c r="L96" t="s">
        <v>22</v>
      </c>
      <c r="M96">
        <f t="shared" si="2"/>
        <v>3</v>
      </c>
      <c r="N96" t="str">
        <f t="shared" ca="1" si="3"/>
        <v>No</v>
      </c>
    </row>
    <row r="97" spans="1:14" x14ac:dyDescent="0.3">
      <c r="A97" t="s">
        <v>190</v>
      </c>
      <c r="B97" t="s">
        <v>75</v>
      </c>
      <c r="C97" t="s">
        <v>56</v>
      </c>
      <c r="D97" t="s">
        <v>26</v>
      </c>
      <c r="E97" t="s">
        <v>27</v>
      </c>
      <c r="F97" t="s">
        <v>85</v>
      </c>
      <c r="H97" t="s">
        <v>37</v>
      </c>
      <c r="J97" t="s">
        <v>47</v>
      </c>
      <c r="K97" t="s">
        <v>58</v>
      </c>
      <c r="L97" t="s">
        <v>22</v>
      </c>
      <c r="M97" t="str">
        <f t="shared" si="2"/>
        <v/>
      </c>
      <c r="N97" t="str">
        <f t="shared" ca="1" si="3"/>
        <v>Yes</v>
      </c>
    </row>
    <row r="98" spans="1:14" x14ac:dyDescent="0.3">
      <c r="A98" t="s">
        <v>191</v>
      </c>
      <c r="B98" t="s">
        <v>73</v>
      </c>
      <c r="C98" t="s">
        <v>60</v>
      </c>
      <c r="D98" t="s">
        <v>88</v>
      </c>
      <c r="E98" t="s">
        <v>89</v>
      </c>
      <c r="F98" t="s">
        <v>70</v>
      </c>
      <c r="H98" t="s">
        <v>29</v>
      </c>
      <c r="J98" t="s">
        <v>38</v>
      </c>
      <c r="K98" t="s">
        <v>67</v>
      </c>
      <c r="L98" t="s">
        <v>31</v>
      </c>
      <c r="M98" t="str">
        <f t="shared" si="2"/>
        <v/>
      </c>
      <c r="N98" t="str">
        <f t="shared" ca="1" si="3"/>
        <v>Yes</v>
      </c>
    </row>
    <row r="99" spans="1:14" x14ac:dyDescent="0.3">
      <c r="A99" t="s">
        <v>192</v>
      </c>
      <c r="B99" t="s">
        <v>13</v>
      </c>
      <c r="C99" t="s">
        <v>56</v>
      </c>
      <c r="D99" t="s">
        <v>34</v>
      </c>
      <c r="E99" t="s">
        <v>35</v>
      </c>
      <c r="F99" t="s">
        <v>111</v>
      </c>
      <c r="G99" t="s">
        <v>82</v>
      </c>
      <c r="H99" t="s">
        <v>19</v>
      </c>
      <c r="I99">
        <v>84</v>
      </c>
      <c r="J99" t="s">
        <v>38</v>
      </c>
      <c r="K99" t="s">
        <v>58</v>
      </c>
      <c r="L99" t="s">
        <v>22</v>
      </c>
      <c r="M99">
        <f t="shared" si="2"/>
        <v>4</v>
      </c>
      <c r="N99" t="str">
        <f t="shared" ca="1" si="3"/>
        <v>No</v>
      </c>
    </row>
    <row r="100" spans="1:14" x14ac:dyDescent="0.3">
      <c r="A100" t="s">
        <v>193</v>
      </c>
      <c r="B100" t="s">
        <v>41</v>
      </c>
      <c r="C100" t="s">
        <v>56</v>
      </c>
      <c r="D100" t="s">
        <v>50</v>
      </c>
      <c r="E100" t="s">
        <v>51</v>
      </c>
      <c r="F100" t="s">
        <v>18</v>
      </c>
      <c r="G100" t="s">
        <v>91</v>
      </c>
      <c r="H100" t="s">
        <v>19</v>
      </c>
      <c r="I100">
        <v>86</v>
      </c>
      <c r="J100" t="s">
        <v>47</v>
      </c>
      <c r="K100" t="s">
        <v>67</v>
      </c>
      <c r="L100" t="s">
        <v>22</v>
      </c>
      <c r="M100">
        <f t="shared" si="2"/>
        <v>9</v>
      </c>
      <c r="N100" t="str">
        <f t="shared" ca="1" si="3"/>
        <v>No</v>
      </c>
    </row>
    <row r="101" spans="1:14" x14ac:dyDescent="0.3">
      <c r="A101" t="s">
        <v>194</v>
      </c>
      <c r="B101" t="s">
        <v>13</v>
      </c>
      <c r="C101" t="s">
        <v>56</v>
      </c>
      <c r="D101" t="s">
        <v>26</v>
      </c>
      <c r="E101" t="s">
        <v>27</v>
      </c>
      <c r="F101" t="s">
        <v>133</v>
      </c>
      <c r="G101" t="s">
        <v>66</v>
      </c>
      <c r="H101" t="s">
        <v>19</v>
      </c>
      <c r="I101">
        <v>79</v>
      </c>
      <c r="J101" t="s">
        <v>38</v>
      </c>
      <c r="K101" t="s">
        <v>58</v>
      </c>
      <c r="L101" t="s">
        <v>22</v>
      </c>
      <c r="M101">
        <f t="shared" si="2"/>
        <v>8</v>
      </c>
      <c r="N101" t="str">
        <f t="shared" ca="1" si="3"/>
        <v>No</v>
      </c>
    </row>
    <row r="102" spans="1:14" x14ac:dyDescent="0.3">
      <c r="A102" t="s">
        <v>195</v>
      </c>
      <c r="B102" t="s">
        <v>55</v>
      </c>
      <c r="C102" t="s">
        <v>56</v>
      </c>
      <c r="D102" t="s">
        <v>61</v>
      </c>
      <c r="E102" t="s">
        <v>62</v>
      </c>
      <c r="F102" t="s">
        <v>63</v>
      </c>
      <c r="G102" t="s">
        <v>79</v>
      </c>
      <c r="H102" t="s">
        <v>19</v>
      </c>
      <c r="I102">
        <v>86</v>
      </c>
      <c r="J102" t="s">
        <v>38</v>
      </c>
      <c r="K102" t="s">
        <v>39</v>
      </c>
      <c r="L102" t="s">
        <v>22</v>
      </c>
      <c r="M102">
        <f t="shared" si="2"/>
        <v>10</v>
      </c>
      <c r="N102" t="str">
        <f t="shared" ca="1" si="3"/>
        <v>No</v>
      </c>
    </row>
    <row r="103" spans="1:14" x14ac:dyDescent="0.3">
      <c r="A103" t="s">
        <v>196</v>
      </c>
      <c r="B103" t="s">
        <v>135</v>
      </c>
      <c r="C103" t="s">
        <v>25</v>
      </c>
      <c r="D103" t="s">
        <v>26</v>
      </c>
      <c r="E103" t="s">
        <v>27</v>
      </c>
      <c r="F103" t="s">
        <v>71</v>
      </c>
      <c r="G103" t="s">
        <v>17</v>
      </c>
      <c r="H103" t="s">
        <v>19</v>
      </c>
      <c r="I103">
        <v>70</v>
      </c>
      <c r="J103" t="s">
        <v>47</v>
      </c>
      <c r="K103" t="s">
        <v>39</v>
      </c>
      <c r="L103" t="s">
        <v>22</v>
      </c>
      <c r="M103">
        <f t="shared" si="2"/>
        <v>3</v>
      </c>
      <c r="N103" t="str">
        <f t="shared" ca="1" si="3"/>
        <v>No</v>
      </c>
    </row>
    <row r="104" spans="1:14" x14ac:dyDescent="0.3">
      <c r="A104" t="s">
        <v>197</v>
      </c>
      <c r="B104" t="s">
        <v>41</v>
      </c>
      <c r="C104" t="s">
        <v>56</v>
      </c>
      <c r="D104" t="s">
        <v>88</v>
      </c>
      <c r="E104" t="s">
        <v>89</v>
      </c>
      <c r="F104" t="s">
        <v>95</v>
      </c>
      <c r="H104" t="s">
        <v>29</v>
      </c>
      <c r="J104" t="s">
        <v>20</v>
      </c>
      <c r="K104" t="s">
        <v>67</v>
      </c>
      <c r="L104" t="s">
        <v>31</v>
      </c>
      <c r="M104" t="str">
        <f t="shared" si="2"/>
        <v/>
      </c>
      <c r="N104" t="str">
        <f t="shared" ca="1" si="3"/>
        <v>Yes</v>
      </c>
    </row>
    <row r="105" spans="1:14" x14ac:dyDescent="0.3">
      <c r="A105" t="s">
        <v>198</v>
      </c>
      <c r="B105" t="s">
        <v>81</v>
      </c>
      <c r="C105" t="s">
        <v>42</v>
      </c>
      <c r="D105" t="s">
        <v>61</v>
      </c>
      <c r="E105" t="s">
        <v>62</v>
      </c>
      <c r="F105" t="s">
        <v>122</v>
      </c>
      <c r="G105" t="s">
        <v>85</v>
      </c>
      <c r="H105" t="s">
        <v>19</v>
      </c>
      <c r="I105">
        <v>87</v>
      </c>
      <c r="J105" t="s">
        <v>20</v>
      </c>
      <c r="K105" t="s">
        <v>30</v>
      </c>
      <c r="L105" t="s">
        <v>22</v>
      </c>
      <c r="M105">
        <f t="shared" si="2"/>
        <v>10</v>
      </c>
      <c r="N105" t="str">
        <f t="shared" ca="1" si="3"/>
        <v>No</v>
      </c>
    </row>
    <row r="106" spans="1:14" x14ac:dyDescent="0.3">
      <c r="A106" t="s">
        <v>199</v>
      </c>
      <c r="B106" t="s">
        <v>118</v>
      </c>
      <c r="C106" t="s">
        <v>60</v>
      </c>
      <c r="D106" t="s">
        <v>50</v>
      </c>
      <c r="E106" t="s">
        <v>51</v>
      </c>
      <c r="F106" t="s">
        <v>57</v>
      </c>
      <c r="G106" t="s">
        <v>77</v>
      </c>
      <c r="H106" t="s">
        <v>19</v>
      </c>
      <c r="I106">
        <v>73</v>
      </c>
      <c r="J106" t="s">
        <v>47</v>
      </c>
      <c r="K106" t="s">
        <v>39</v>
      </c>
      <c r="L106" t="s">
        <v>22</v>
      </c>
      <c r="M106">
        <f t="shared" si="2"/>
        <v>4</v>
      </c>
      <c r="N106" t="str">
        <f t="shared" ca="1" si="3"/>
        <v>No</v>
      </c>
    </row>
    <row r="107" spans="1:14" x14ac:dyDescent="0.3">
      <c r="A107" t="s">
        <v>200</v>
      </c>
      <c r="B107" t="s">
        <v>24</v>
      </c>
      <c r="C107" t="s">
        <v>14</v>
      </c>
      <c r="D107" t="s">
        <v>34</v>
      </c>
      <c r="E107" t="s">
        <v>35</v>
      </c>
      <c r="F107" t="s">
        <v>66</v>
      </c>
      <c r="H107" t="s">
        <v>37</v>
      </c>
      <c r="J107" t="s">
        <v>38</v>
      </c>
      <c r="K107" t="s">
        <v>30</v>
      </c>
      <c r="L107" t="s">
        <v>22</v>
      </c>
      <c r="M107" t="str">
        <f t="shared" si="2"/>
        <v/>
      </c>
      <c r="N107" t="str">
        <f t="shared" ca="1" si="3"/>
        <v>Yes</v>
      </c>
    </row>
    <row r="108" spans="1:14" x14ac:dyDescent="0.3">
      <c r="A108" t="s">
        <v>201</v>
      </c>
      <c r="B108" t="s">
        <v>118</v>
      </c>
      <c r="C108" t="s">
        <v>25</v>
      </c>
      <c r="D108" t="s">
        <v>88</v>
      </c>
      <c r="E108" t="s">
        <v>89</v>
      </c>
      <c r="F108" t="s">
        <v>104</v>
      </c>
      <c r="H108" t="s">
        <v>37</v>
      </c>
      <c r="J108" t="s">
        <v>38</v>
      </c>
      <c r="K108" t="s">
        <v>58</v>
      </c>
      <c r="L108" t="s">
        <v>22</v>
      </c>
      <c r="M108" t="str">
        <f t="shared" si="2"/>
        <v/>
      </c>
      <c r="N108" t="str">
        <f t="shared" ca="1" si="3"/>
        <v>Yes</v>
      </c>
    </row>
    <row r="109" spans="1:14" x14ac:dyDescent="0.3">
      <c r="A109" t="s">
        <v>202</v>
      </c>
      <c r="B109" t="s">
        <v>165</v>
      </c>
      <c r="C109" t="s">
        <v>56</v>
      </c>
      <c r="D109" t="s">
        <v>26</v>
      </c>
      <c r="E109" t="s">
        <v>27</v>
      </c>
      <c r="F109" t="s">
        <v>122</v>
      </c>
      <c r="H109" t="s">
        <v>37</v>
      </c>
      <c r="J109" t="s">
        <v>47</v>
      </c>
      <c r="K109" t="s">
        <v>58</v>
      </c>
      <c r="L109" t="s">
        <v>22</v>
      </c>
      <c r="M109" t="str">
        <f t="shared" si="2"/>
        <v/>
      </c>
      <c r="N109" t="str">
        <f t="shared" ca="1" si="3"/>
        <v>Yes</v>
      </c>
    </row>
    <row r="110" spans="1:14" x14ac:dyDescent="0.3">
      <c r="A110" t="s">
        <v>203</v>
      </c>
      <c r="B110" t="s">
        <v>13</v>
      </c>
      <c r="C110" t="s">
        <v>56</v>
      </c>
      <c r="D110" t="s">
        <v>26</v>
      </c>
      <c r="E110" t="s">
        <v>27</v>
      </c>
      <c r="F110" t="s">
        <v>43</v>
      </c>
      <c r="H110" t="s">
        <v>37</v>
      </c>
      <c r="J110" t="s">
        <v>20</v>
      </c>
      <c r="K110" t="s">
        <v>58</v>
      </c>
      <c r="L110" t="s">
        <v>22</v>
      </c>
      <c r="M110" t="str">
        <f t="shared" si="2"/>
        <v/>
      </c>
      <c r="N110" t="str">
        <f t="shared" ca="1" si="3"/>
        <v>Yes</v>
      </c>
    </row>
    <row r="111" spans="1:14" x14ac:dyDescent="0.3">
      <c r="A111" t="s">
        <v>204</v>
      </c>
      <c r="B111" t="s">
        <v>163</v>
      </c>
      <c r="C111" t="s">
        <v>60</v>
      </c>
      <c r="D111" t="s">
        <v>15</v>
      </c>
      <c r="E111" t="s">
        <v>16</v>
      </c>
      <c r="F111" t="s">
        <v>95</v>
      </c>
      <c r="G111" t="s">
        <v>28</v>
      </c>
      <c r="H111" t="s">
        <v>19</v>
      </c>
      <c r="I111">
        <v>83</v>
      </c>
      <c r="J111" t="s">
        <v>20</v>
      </c>
      <c r="K111" t="s">
        <v>67</v>
      </c>
      <c r="L111" t="s">
        <v>22</v>
      </c>
      <c r="M111">
        <f t="shared" si="2"/>
        <v>7</v>
      </c>
      <c r="N111" t="str">
        <f t="shared" ca="1" si="3"/>
        <v>No</v>
      </c>
    </row>
    <row r="112" spans="1:14" x14ac:dyDescent="0.3">
      <c r="A112" t="s">
        <v>205</v>
      </c>
      <c r="B112" t="s">
        <v>41</v>
      </c>
      <c r="C112" t="s">
        <v>25</v>
      </c>
      <c r="D112" t="s">
        <v>88</v>
      </c>
      <c r="E112" t="s">
        <v>89</v>
      </c>
      <c r="F112" t="s">
        <v>63</v>
      </c>
      <c r="H112" t="s">
        <v>37</v>
      </c>
      <c r="J112" t="s">
        <v>38</v>
      </c>
      <c r="K112" t="s">
        <v>67</v>
      </c>
      <c r="L112" t="s">
        <v>22</v>
      </c>
      <c r="M112" t="str">
        <f t="shared" si="2"/>
        <v/>
      </c>
      <c r="N112" t="str">
        <f t="shared" ca="1" si="3"/>
        <v>Yes</v>
      </c>
    </row>
    <row r="113" spans="1:14" x14ac:dyDescent="0.3">
      <c r="A113" t="s">
        <v>206</v>
      </c>
      <c r="B113" t="s">
        <v>33</v>
      </c>
      <c r="C113" t="s">
        <v>14</v>
      </c>
      <c r="D113" t="s">
        <v>61</v>
      </c>
      <c r="E113" t="s">
        <v>62</v>
      </c>
      <c r="F113" t="s">
        <v>107</v>
      </c>
      <c r="H113" t="s">
        <v>37</v>
      </c>
      <c r="J113" t="s">
        <v>47</v>
      </c>
      <c r="K113" t="s">
        <v>39</v>
      </c>
      <c r="L113" t="s">
        <v>22</v>
      </c>
      <c r="M113" t="str">
        <f t="shared" si="2"/>
        <v/>
      </c>
      <c r="N113" t="str">
        <f t="shared" ca="1" si="3"/>
        <v>Yes</v>
      </c>
    </row>
    <row r="114" spans="1:14" x14ac:dyDescent="0.3">
      <c r="A114" t="s">
        <v>207</v>
      </c>
      <c r="B114" t="s">
        <v>94</v>
      </c>
      <c r="C114" t="s">
        <v>45</v>
      </c>
      <c r="D114" t="s">
        <v>88</v>
      </c>
      <c r="E114" t="s">
        <v>89</v>
      </c>
      <c r="F114" t="s">
        <v>100</v>
      </c>
      <c r="G114" t="s">
        <v>101</v>
      </c>
      <c r="H114" t="s">
        <v>19</v>
      </c>
      <c r="I114">
        <v>88</v>
      </c>
      <c r="J114" t="s">
        <v>20</v>
      </c>
      <c r="K114" t="s">
        <v>39</v>
      </c>
      <c r="L114" t="s">
        <v>22</v>
      </c>
      <c r="M114">
        <f t="shared" si="2"/>
        <v>12</v>
      </c>
      <c r="N114" t="str">
        <f t="shared" ca="1" si="3"/>
        <v>No</v>
      </c>
    </row>
    <row r="115" spans="1:14" x14ac:dyDescent="0.3">
      <c r="A115" t="s">
        <v>208</v>
      </c>
      <c r="B115" t="s">
        <v>81</v>
      </c>
      <c r="C115" t="s">
        <v>60</v>
      </c>
      <c r="D115" t="s">
        <v>50</v>
      </c>
      <c r="E115" t="s">
        <v>51</v>
      </c>
      <c r="F115" t="s">
        <v>122</v>
      </c>
      <c r="G115" t="s">
        <v>43</v>
      </c>
      <c r="H115" t="s">
        <v>19</v>
      </c>
      <c r="I115">
        <v>90</v>
      </c>
      <c r="J115" t="s">
        <v>38</v>
      </c>
      <c r="K115" t="s">
        <v>21</v>
      </c>
      <c r="L115" t="s">
        <v>22</v>
      </c>
      <c r="M115">
        <f t="shared" si="2"/>
        <v>3</v>
      </c>
      <c r="N115" t="str">
        <f t="shared" ca="1" si="3"/>
        <v>No</v>
      </c>
    </row>
    <row r="116" spans="1:14" x14ac:dyDescent="0.3">
      <c r="A116" t="s">
        <v>209</v>
      </c>
      <c r="B116" t="s">
        <v>81</v>
      </c>
      <c r="C116" t="s">
        <v>45</v>
      </c>
      <c r="D116" t="s">
        <v>50</v>
      </c>
      <c r="E116" t="s">
        <v>51</v>
      </c>
      <c r="F116" t="s">
        <v>17</v>
      </c>
      <c r="G116" t="s">
        <v>128</v>
      </c>
      <c r="H116" t="s">
        <v>19</v>
      </c>
      <c r="I116">
        <v>87</v>
      </c>
      <c r="J116" t="s">
        <v>47</v>
      </c>
      <c r="K116" t="s">
        <v>58</v>
      </c>
      <c r="L116" t="s">
        <v>22</v>
      </c>
      <c r="M116">
        <f t="shared" si="2"/>
        <v>10</v>
      </c>
      <c r="N116" t="str">
        <f t="shared" ca="1" si="3"/>
        <v>No</v>
      </c>
    </row>
    <row r="117" spans="1:14" x14ac:dyDescent="0.3">
      <c r="A117" t="s">
        <v>210</v>
      </c>
      <c r="B117" t="s">
        <v>33</v>
      </c>
      <c r="C117" t="s">
        <v>42</v>
      </c>
      <c r="D117" t="s">
        <v>88</v>
      </c>
      <c r="E117" t="s">
        <v>89</v>
      </c>
      <c r="F117" t="s">
        <v>46</v>
      </c>
      <c r="H117" t="s">
        <v>29</v>
      </c>
      <c r="J117" t="s">
        <v>47</v>
      </c>
      <c r="K117" t="s">
        <v>67</v>
      </c>
      <c r="L117" t="s">
        <v>31</v>
      </c>
      <c r="M117" t="str">
        <f t="shared" si="2"/>
        <v/>
      </c>
      <c r="N117" t="str">
        <f t="shared" ca="1" si="3"/>
        <v>Yes</v>
      </c>
    </row>
    <row r="118" spans="1:14" x14ac:dyDescent="0.3">
      <c r="A118" t="s">
        <v>211</v>
      </c>
      <c r="B118" t="s">
        <v>114</v>
      </c>
      <c r="C118" t="s">
        <v>25</v>
      </c>
      <c r="D118" t="s">
        <v>34</v>
      </c>
      <c r="E118" t="s">
        <v>35</v>
      </c>
      <c r="F118" t="s">
        <v>184</v>
      </c>
      <c r="G118" t="s">
        <v>63</v>
      </c>
      <c r="H118" t="s">
        <v>19</v>
      </c>
      <c r="I118">
        <v>80</v>
      </c>
      <c r="J118" t="s">
        <v>20</v>
      </c>
      <c r="K118" t="s">
        <v>67</v>
      </c>
      <c r="L118" t="s">
        <v>22</v>
      </c>
      <c r="M118">
        <f t="shared" si="2"/>
        <v>7</v>
      </c>
      <c r="N118" t="str">
        <f t="shared" ca="1" si="3"/>
        <v>No</v>
      </c>
    </row>
    <row r="119" spans="1:14" x14ac:dyDescent="0.3">
      <c r="A119" t="s">
        <v>212</v>
      </c>
      <c r="B119" t="s">
        <v>94</v>
      </c>
      <c r="C119" t="s">
        <v>60</v>
      </c>
      <c r="D119" t="s">
        <v>26</v>
      </c>
      <c r="E119" t="s">
        <v>27</v>
      </c>
      <c r="F119" t="s">
        <v>18</v>
      </c>
      <c r="H119" t="s">
        <v>37</v>
      </c>
      <c r="J119" t="s">
        <v>20</v>
      </c>
      <c r="K119" t="s">
        <v>39</v>
      </c>
      <c r="L119" t="s">
        <v>22</v>
      </c>
      <c r="M119" t="str">
        <f t="shared" si="2"/>
        <v/>
      </c>
      <c r="N119" t="str">
        <f t="shared" ca="1" si="3"/>
        <v>Yes</v>
      </c>
    </row>
    <row r="120" spans="1:14" x14ac:dyDescent="0.3">
      <c r="A120" t="s">
        <v>213</v>
      </c>
      <c r="B120" t="s">
        <v>118</v>
      </c>
      <c r="C120" t="s">
        <v>60</v>
      </c>
      <c r="D120" t="s">
        <v>15</v>
      </c>
      <c r="E120" t="s">
        <v>16</v>
      </c>
      <c r="F120" t="s">
        <v>18</v>
      </c>
      <c r="H120" t="s">
        <v>37</v>
      </c>
      <c r="J120" t="s">
        <v>20</v>
      </c>
      <c r="K120" t="s">
        <v>30</v>
      </c>
      <c r="L120" t="s">
        <v>22</v>
      </c>
      <c r="M120" t="str">
        <f t="shared" si="2"/>
        <v/>
      </c>
      <c r="N120" t="str">
        <f t="shared" ca="1" si="3"/>
        <v>Yes</v>
      </c>
    </row>
    <row r="121" spans="1:14" x14ac:dyDescent="0.3">
      <c r="A121" t="s">
        <v>214</v>
      </c>
      <c r="B121" t="s">
        <v>94</v>
      </c>
      <c r="C121" t="s">
        <v>14</v>
      </c>
      <c r="D121" t="s">
        <v>15</v>
      </c>
      <c r="E121" t="s">
        <v>16</v>
      </c>
      <c r="F121" t="s">
        <v>17</v>
      </c>
      <c r="H121" t="s">
        <v>29</v>
      </c>
      <c r="J121" t="s">
        <v>20</v>
      </c>
      <c r="K121" t="s">
        <v>39</v>
      </c>
      <c r="L121" t="s">
        <v>31</v>
      </c>
      <c r="M121" t="str">
        <f t="shared" si="2"/>
        <v/>
      </c>
      <c r="N121" t="str">
        <f t="shared" ca="1" si="3"/>
        <v>Yes</v>
      </c>
    </row>
    <row r="122" spans="1:14" x14ac:dyDescent="0.3">
      <c r="A122" t="s">
        <v>215</v>
      </c>
      <c r="B122" t="s">
        <v>81</v>
      </c>
      <c r="C122" t="s">
        <v>14</v>
      </c>
      <c r="D122" t="s">
        <v>50</v>
      </c>
      <c r="E122" t="s">
        <v>51</v>
      </c>
      <c r="F122" t="s">
        <v>95</v>
      </c>
      <c r="H122" t="s">
        <v>37</v>
      </c>
      <c r="J122" t="s">
        <v>20</v>
      </c>
      <c r="K122" t="s">
        <v>39</v>
      </c>
      <c r="L122" t="s">
        <v>22</v>
      </c>
      <c r="M122" t="str">
        <f t="shared" si="2"/>
        <v/>
      </c>
      <c r="N122" t="str">
        <f t="shared" ca="1" si="3"/>
        <v>Yes</v>
      </c>
    </row>
    <row r="123" spans="1:14" x14ac:dyDescent="0.3">
      <c r="A123" t="s">
        <v>216</v>
      </c>
      <c r="B123" t="s">
        <v>114</v>
      </c>
      <c r="C123" t="s">
        <v>56</v>
      </c>
      <c r="D123" t="s">
        <v>15</v>
      </c>
      <c r="E123" t="s">
        <v>16</v>
      </c>
      <c r="F123" t="s">
        <v>66</v>
      </c>
      <c r="H123" t="s">
        <v>37</v>
      </c>
      <c r="J123" t="s">
        <v>38</v>
      </c>
      <c r="K123" t="s">
        <v>39</v>
      </c>
      <c r="L123" t="s">
        <v>22</v>
      </c>
      <c r="M123" t="str">
        <f t="shared" si="2"/>
        <v/>
      </c>
      <c r="N123" t="str">
        <f t="shared" ca="1" si="3"/>
        <v>Yes</v>
      </c>
    </row>
    <row r="124" spans="1:14" x14ac:dyDescent="0.3">
      <c r="A124" t="s">
        <v>217</v>
      </c>
      <c r="B124" t="s">
        <v>55</v>
      </c>
      <c r="C124" t="s">
        <v>42</v>
      </c>
      <c r="D124" t="s">
        <v>61</v>
      </c>
      <c r="E124" t="s">
        <v>62</v>
      </c>
      <c r="F124" t="s">
        <v>184</v>
      </c>
      <c r="H124" t="s">
        <v>29</v>
      </c>
      <c r="J124" t="s">
        <v>38</v>
      </c>
      <c r="K124" t="s">
        <v>30</v>
      </c>
      <c r="L124" t="s">
        <v>31</v>
      </c>
      <c r="M124" t="str">
        <f t="shared" si="2"/>
        <v/>
      </c>
      <c r="N124" t="str">
        <f t="shared" ca="1" si="3"/>
        <v>Yes</v>
      </c>
    </row>
    <row r="125" spans="1:14" x14ac:dyDescent="0.3">
      <c r="A125" t="s">
        <v>218</v>
      </c>
      <c r="B125" t="s">
        <v>75</v>
      </c>
      <c r="C125" t="s">
        <v>45</v>
      </c>
      <c r="D125" t="s">
        <v>15</v>
      </c>
      <c r="E125" t="s">
        <v>16</v>
      </c>
      <c r="F125" t="s">
        <v>70</v>
      </c>
      <c r="G125" t="s">
        <v>82</v>
      </c>
      <c r="H125" t="s">
        <v>19</v>
      </c>
      <c r="I125">
        <v>87</v>
      </c>
      <c r="J125" t="s">
        <v>20</v>
      </c>
      <c r="K125" t="s">
        <v>67</v>
      </c>
      <c r="L125" t="s">
        <v>22</v>
      </c>
      <c r="M125">
        <f t="shared" si="2"/>
        <v>6</v>
      </c>
      <c r="N125" t="str">
        <f t="shared" ca="1" si="3"/>
        <v>No</v>
      </c>
    </row>
    <row r="126" spans="1:14" x14ac:dyDescent="0.3">
      <c r="A126" t="s">
        <v>219</v>
      </c>
      <c r="B126" t="s">
        <v>94</v>
      </c>
      <c r="C126" t="s">
        <v>25</v>
      </c>
      <c r="D126" t="s">
        <v>61</v>
      </c>
      <c r="E126" t="s">
        <v>62</v>
      </c>
      <c r="F126" t="s">
        <v>184</v>
      </c>
      <c r="G126" t="s">
        <v>63</v>
      </c>
      <c r="H126" t="s">
        <v>19</v>
      </c>
      <c r="I126">
        <v>94</v>
      </c>
      <c r="J126" t="s">
        <v>47</v>
      </c>
      <c r="K126" t="s">
        <v>58</v>
      </c>
      <c r="L126" t="s">
        <v>22</v>
      </c>
      <c r="M126">
        <f t="shared" si="2"/>
        <v>7</v>
      </c>
      <c r="N126" t="str">
        <f t="shared" ca="1" si="3"/>
        <v>No</v>
      </c>
    </row>
    <row r="127" spans="1:14" x14ac:dyDescent="0.3">
      <c r="A127" t="s">
        <v>220</v>
      </c>
      <c r="B127" t="s">
        <v>13</v>
      </c>
      <c r="C127" t="s">
        <v>14</v>
      </c>
      <c r="D127" t="s">
        <v>88</v>
      </c>
      <c r="E127" t="s">
        <v>89</v>
      </c>
      <c r="F127" t="s">
        <v>79</v>
      </c>
      <c r="G127" t="s">
        <v>221</v>
      </c>
      <c r="H127" t="s">
        <v>19</v>
      </c>
      <c r="I127">
        <v>80</v>
      </c>
      <c r="J127" t="s">
        <v>47</v>
      </c>
      <c r="K127" t="s">
        <v>30</v>
      </c>
      <c r="L127" t="s">
        <v>22</v>
      </c>
      <c r="M127">
        <f t="shared" si="2"/>
        <v>12</v>
      </c>
      <c r="N127" t="str">
        <f t="shared" ca="1" si="3"/>
        <v>No</v>
      </c>
    </row>
    <row r="128" spans="1:14" x14ac:dyDescent="0.3">
      <c r="A128" t="s">
        <v>222</v>
      </c>
      <c r="B128" t="s">
        <v>163</v>
      </c>
      <c r="C128" t="s">
        <v>56</v>
      </c>
      <c r="D128" t="s">
        <v>50</v>
      </c>
      <c r="E128" t="s">
        <v>51</v>
      </c>
      <c r="F128" t="s">
        <v>77</v>
      </c>
      <c r="H128" t="s">
        <v>29</v>
      </c>
      <c r="J128" t="s">
        <v>20</v>
      </c>
      <c r="K128" t="s">
        <v>67</v>
      </c>
      <c r="L128" t="s">
        <v>31</v>
      </c>
      <c r="M128" t="str">
        <f t="shared" si="2"/>
        <v/>
      </c>
      <c r="N128" t="str">
        <f t="shared" ca="1" si="3"/>
        <v>Yes</v>
      </c>
    </row>
    <row r="129" spans="1:14" x14ac:dyDescent="0.3">
      <c r="A129" t="s">
        <v>223</v>
      </c>
      <c r="B129" t="s">
        <v>140</v>
      </c>
      <c r="C129" t="s">
        <v>14</v>
      </c>
      <c r="D129" t="s">
        <v>50</v>
      </c>
      <c r="E129" t="s">
        <v>51</v>
      </c>
      <c r="F129" t="s">
        <v>100</v>
      </c>
      <c r="G129" t="s">
        <v>224</v>
      </c>
      <c r="H129" t="s">
        <v>19</v>
      </c>
      <c r="I129">
        <v>76</v>
      </c>
      <c r="J129" t="s">
        <v>47</v>
      </c>
      <c r="K129" t="s">
        <v>39</v>
      </c>
      <c r="L129" t="s">
        <v>22</v>
      </c>
      <c r="M129">
        <f t="shared" si="2"/>
        <v>6</v>
      </c>
      <c r="N129" t="str">
        <f t="shared" ca="1" si="3"/>
        <v>No</v>
      </c>
    </row>
    <row r="130" spans="1:14" x14ac:dyDescent="0.3">
      <c r="A130" t="s">
        <v>225</v>
      </c>
      <c r="B130" t="s">
        <v>94</v>
      </c>
      <c r="C130" t="s">
        <v>14</v>
      </c>
      <c r="D130" t="s">
        <v>34</v>
      </c>
      <c r="E130" t="s">
        <v>35</v>
      </c>
      <c r="F130" t="s">
        <v>104</v>
      </c>
      <c r="H130" t="s">
        <v>37</v>
      </c>
      <c r="J130" t="s">
        <v>47</v>
      </c>
      <c r="K130" t="s">
        <v>30</v>
      </c>
      <c r="L130" t="s">
        <v>22</v>
      </c>
      <c r="M130" t="str">
        <f t="shared" si="2"/>
        <v/>
      </c>
      <c r="N130" t="str">
        <f t="shared" ca="1" si="3"/>
        <v>Yes</v>
      </c>
    </row>
    <row r="131" spans="1:14" x14ac:dyDescent="0.3">
      <c r="A131" t="s">
        <v>226</v>
      </c>
      <c r="B131" t="s">
        <v>33</v>
      </c>
      <c r="C131" t="s">
        <v>45</v>
      </c>
      <c r="D131" t="s">
        <v>50</v>
      </c>
      <c r="E131" t="s">
        <v>51</v>
      </c>
      <c r="F131" t="s">
        <v>71</v>
      </c>
      <c r="G131" t="s">
        <v>53</v>
      </c>
      <c r="H131" t="s">
        <v>19</v>
      </c>
      <c r="I131">
        <v>95</v>
      </c>
      <c r="J131" t="s">
        <v>47</v>
      </c>
      <c r="K131" t="s">
        <v>39</v>
      </c>
      <c r="L131" t="s">
        <v>22</v>
      </c>
      <c r="M131">
        <f t="shared" ref="M131:M151" si="4">IF(G131="","",DATEDIF(F131,G131,"D"))</f>
        <v>12</v>
      </c>
      <c r="N131" t="str">
        <f t="shared" ref="N131:N151" ca="1" si="5">IF(AND(H131&lt;&gt;"completed",TODAY()-F131&gt;30),"Yes","No")</f>
        <v>No</v>
      </c>
    </row>
    <row r="132" spans="1:14" x14ac:dyDescent="0.3">
      <c r="A132" t="s">
        <v>227</v>
      </c>
      <c r="B132" t="s">
        <v>114</v>
      </c>
      <c r="C132" t="s">
        <v>45</v>
      </c>
      <c r="D132" t="s">
        <v>15</v>
      </c>
      <c r="E132" t="s">
        <v>16</v>
      </c>
      <c r="F132" t="s">
        <v>122</v>
      </c>
      <c r="H132" t="s">
        <v>29</v>
      </c>
      <c r="J132" t="s">
        <v>38</v>
      </c>
      <c r="K132" t="s">
        <v>67</v>
      </c>
      <c r="L132" t="s">
        <v>31</v>
      </c>
      <c r="M132" t="str">
        <f t="shared" si="4"/>
        <v/>
      </c>
      <c r="N132" t="str">
        <f t="shared" ca="1" si="5"/>
        <v>Yes</v>
      </c>
    </row>
    <row r="133" spans="1:14" x14ac:dyDescent="0.3">
      <c r="A133" t="s">
        <v>228</v>
      </c>
      <c r="B133" t="s">
        <v>49</v>
      </c>
      <c r="C133" t="s">
        <v>42</v>
      </c>
      <c r="D133" t="s">
        <v>50</v>
      </c>
      <c r="E133" t="s">
        <v>51</v>
      </c>
      <c r="F133" t="s">
        <v>111</v>
      </c>
      <c r="H133" t="s">
        <v>37</v>
      </c>
      <c r="J133" t="s">
        <v>20</v>
      </c>
      <c r="K133" t="s">
        <v>58</v>
      </c>
      <c r="L133" t="s">
        <v>22</v>
      </c>
      <c r="M133" t="str">
        <f t="shared" si="4"/>
        <v/>
      </c>
      <c r="N133" t="str">
        <f t="shared" ca="1" si="5"/>
        <v>Yes</v>
      </c>
    </row>
    <row r="134" spans="1:14" x14ac:dyDescent="0.3">
      <c r="A134" t="s">
        <v>229</v>
      </c>
      <c r="B134" t="s">
        <v>99</v>
      </c>
      <c r="C134" t="s">
        <v>42</v>
      </c>
      <c r="D134" t="s">
        <v>34</v>
      </c>
      <c r="E134" t="s">
        <v>35</v>
      </c>
      <c r="F134" t="s">
        <v>82</v>
      </c>
      <c r="G134" t="s">
        <v>104</v>
      </c>
      <c r="H134" t="s">
        <v>19</v>
      </c>
      <c r="I134">
        <v>76</v>
      </c>
      <c r="J134" t="s">
        <v>20</v>
      </c>
      <c r="K134" t="s">
        <v>39</v>
      </c>
      <c r="L134" t="s">
        <v>22</v>
      </c>
      <c r="M134">
        <f t="shared" si="4"/>
        <v>11</v>
      </c>
      <c r="N134" t="str">
        <f t="shared" ca="1" si="5"/>
        <v>No</v>
      </c>
    </row>
    <row r="135" spans="1:14" x14ac:dyDescent="0.3">
      <c r="A135" t="s">
        <v>230</v>
      </c>
      <c r="B135" t="s">
        <v>81</v>
      </c>
      <c r="C135" t="s">
        <v>60</v>
      </c>
      <c r="D135" t="s">
        <v>88</v>
      </c>
      <c r="E135" t="s">
        <v>89</v>
      </c>
      <c r="F135" t="s">
        <v>28</v>
      </c>
      <c r="G135" t="s">
        <v>85</v>
      </c>
      <c r="H135" t="s">
        <v>19</v>
      </c>
      <c r="I135">
        <v>95</v>
      </c>
      <c r="J135" t="s">
        <v>38</v>
      </c>
      <c r="K135" t="s">
        <v>21</v>
      </c>
      <c r="L135" t="s">
        <v>22</v>
      </c>
      <c r="M135">
        <f t="shared" si="4"/>
        <v>5</v>
      </c>
      <c r="N135" t="str">
        <f t="shared" ca="1" si="5"/>
        <v>No</v>
      </c>
    </row>
    <row r="136" spans="1:14" x14ac:dyDescent="0.3">
      <c r="A136" t="s">
        <v>231</v>
      </c>
      <c r="B136" t="s">
        <v>69</v>
      </c>
      <c r="C136" t="s">
        <v>14</v>
      </c>
      <c r="D136" t="s">
        <v>15</v>
      </c>
      <c r="E136" t="s">
        <v>16</v>
      </c>
      <c r="F136" t="s">
        <v>57</v>
      </c>
      <c r="H136" t="s">
        <v>29</v>
      </c>
      <c r="J136" t="s">
        <v>20</v>
      </c>
      <c r="K136" t="s">
        <v>21</v>
      </c>
      <c r="L136" t="s">
        <v>31</v>
      </c>
      <c r="M136" t="str">
        <f t="shared" si="4"/>
        <v/>
      </c>
      <c r="N136" t="str">
        <f t="shared" ca="1" si="5"/>
        <v>Yes</v>
      </c>
    </row>
    <row r="137" spans="1:14" x14ac:dyDescent="0.3">
      <c r="A137" t="s">
        <v>232</v>
      </c>
      <c r="B137" t="s">
        <v>75</v>
      </c>
      <c r="C137" t="s">
        <v>45</v>
      </c>
      <c r="D137" t="s">
        <v>61</v>
      </c>
      <c r="E137" t="s">
        <v>62</v>
      </c>
      <c r="F137" t="s">
        <v>95</v>
      </c>
      <c r="H137" t="s">
        <v>37</v>
      </c>
      <c r="J137" t="s">
        <v>38</v>
      </c>
      <c r="K137" t="s">
        <v>21</v>
      </c>
      <c r="L137" t="s">
        <v>22</v>
      </c>
      <c r="M137" t="str">
        <f t="shared" si="4"/>
        <v/>
      </c>
      <c r="N137" t="str">
        <f t="shared" ca="1" si="5"/>
        <v>Yes</v>
      </c>
    </row>
    <row r="138" spans="1:14" x14ac:dyDescent="0.3">
      <c r="A138" t="s">
        <v>233</v>
      </c>
      <c r="B138" t="s">
        <v>24</v>
      </c>
      <c r="C138" t="s">
        <v>56</v>
      </c>
      <c r="D138" t="s">
        <v>50</v>
      </c>
      <c r="E138" t="s">
        <v>51</v>
      </c>
      <c r="F138" t="s">
        <v>77</v>
      </c>
      <c r="H138" t="s">
        <v>29</v>
      </c>
      <c r="J138" t="s">
        <v>20</v>
      </c>
      <c r="K138" t="s">
        <v>67</v>
      </c>
      <c r="L138" t="s">
        <v>31</v>
      </c>
      <c r="M138" t="str">
        <f t="shared" si="4"/>
        <v/>
      </c>
      <c r="N138" t="str">
        <f t="shared" ca="1" si="5"/>
        <v>Yes</v>
      </c>
    </row>
    <row r="139" spans="1:14" x14ac:dyDescent="0.3">
      <c r="A139" t="s">
        <v>234</v>
      </c>
      <c r="B139" t="s">
        <v>118</v>
      </c>
      <c r="C139" t="s">
        <v>60</v>
      </c>
      <c r="D139" t="s">
        <v>88</v>
      </c>
      <c r="E139" t="s">
        <v>89</v>
      </c>
      <c r="F139" t="s">
        <v>63</v>
      </c>
      <c r="H139" t="s">
        <v>37</v>
      </c>
      <c r="J139" t="s">
        <v>20</v>
      </c>
      <c r="K139" t="s">
        <v>67</v>
      </c>
      <c r="L139" t="s">
        <v>22</v>
      </c>
      <c r="M139" t="str">
        <f t="shared" si="4"/>
        <v/>
      </c>
      <c r="N139" t="str">
        <f t="shared" ca="1" si="5"/>
        <v>Yes</v>
      </c>
    </row>
    <row r="140" spans="1:14" x14ac:dyDescent="0.3">
      <c r="A140" t="s">
        <v>235</v>
      </c>
      <c r="B140" t="s">
        <v>65</v>
      </c>
      <c r="C140" t="s">
        <v>56</v>
      </c>
      <c r="D140" t="s">
        <v>61</v>
      </c>
      <c r="E140" t="s">
        <v>62</v>
      </c>
      <c r="F140" t="s">
        <v>111</v>
      </c>
      <c r="H140" t="s">
        <v>37</v>
      </c>
      <c r="J140" t="s">
        <v>20</v>
      </c>
      <c r="K140" t="s">
        <v>39</v>
      </c>
      <c r="L140" t="s">
        <v>22</v>
      </c>
      <c r="M140" t="str">
        <f t="shared" si="4"/>
        <v/>
      </c>
      <c r="N140" t="str">
        <f t="shared" ca="1" si="5"/>
        <v>Yes</v>
      </c>
    </row>
    <row r="141" spans="1:14" x14ac:dyDescent="0.3">
      <c r="A141" t="s">
        <v>236</v>
      </c>
      <c r="B141" t="s">
        <v>140</v>
      </c>
      <c r="C141" t="s">
        <v>14</v>
      </c>
      <c r="D141" t="s">
        <v>26</v>
      </c>
      <c r="E141" t="s">
        <v>27</v>
      </c>
      <c r="F141" t="s">
        <v>63</v>
      </c>
      <c r="G141" t="s">
        <v>104</v>
      </c>
      <c r="H141" t="s">
        <v>19</v>
      </c>
      <c r="I141">
        <v>86</v>
      </c>
      <c r="J141" t="s">
        <v>20</v>
      </c>
      <c r="K141" t="s">
        <v>67</v>
      </c>
      <c r="L141" t="s">
        <v>22</v>
      </c>
      <c r="M141">
        <f t="shared" si="4"/>
        <v>7</v>
      </c>
      <c r="N141" t="str">
        <f t="shared" ca="1" si="5"/>
        <v>No</v>
      </c>
    </row>
    <row r="142" spans="1:14" x14ac:dyDescent="0.3">
      <c r="A142" t="s">
        <v>237</v>
      </c>
      <c r="B142" t="s">
        <v>73</v>
      </c>
      <c r="C142" t="s">
        <v>42</v>
      </c>
      <c r="D142" t="s">
        <v>34</v>
      </c>
      <c r="E142" t="s">
        <v>35</v>
      </c>
      <c r="F142" t="s">
        <v>28</v>
      </c>
      <c r="H142" t="s">
        <v>37</v>
      </c>
      <c r="J142" t="s">
        <v>47</v>
      </c>
      <c r="K142" t="s">
        <v>30</v>
      </c>
      <c r="L142" t="s">
        <v>22</v>
      </c>
      <c r="M142" t="str">
        <f t="shared" si="4"/>
        <v/>
      </c>
      <c r="N142" t="str">
        <f t="shared" ca="1" si="5"/>
        <v>Yes</v>
      </c>
    </row>
    <row r="143" spans="1:14" x14ac:dyDescent="0.3">
      <c r="A143" t="s">
        <v>238</v>
      </c>
      <c r="B143" t="s">
        <v>99</v>
      </c>
      <c r="C143" t="s">
        <v>45</v>
      </c>
      <c r="D143" t="s">
        <v>88</v>
      </c>
      <c r="E143" t="s">
        <v>89</v>
      </c>
      <c r="F143" t="s">
        <v>28</v>
      </c>
      <c r="H143" t="s">
        <v>29</v>
      </c>
      <c r="J143" t="s">
        <v>38</v>
      </c>
      <c r="K143" t="s">
        <v>67</v>
      </c>
      <c r="L143" t="s">
        <v>31</v>
      </c>
      <c r="M143" t="str">
        <f t="shared" si="4"/>
        <v/>
      </c>
      <c r="N143" t="str">
        <f t="shared" ca="1" si="5"/>
        <v>Yes</v>
      </c>
    </row>
    <row r="144" spans="1:14" x14ac:dyDescent="0.3">
      <c r="A144" t="s">
        <v>239</v>
      </c>
      <c r="B144" t="s">
        <v>75</v>
      </c>
      <c r="C144" t="s">
        <v>14</v>
      </c>
      <c r="D144" t="s">
        <v>15</v>
      </c>
      <c r="E144" t="s">
        <v>16</v>
      </c>
      <c r="F144" t="s">
        <v>70</v>
      </c>
      <c r="H144" t="s">
        <v>37</v>
      </c>
      <c r="J144" t="s">
        <v>47</v>
      </c>
      <c r="K144" t="s">
        <v>67</v>
      </c>
      <c r="L144" t="s">
        <v>22</v>
      </c>
      <c r="M144" t="str">
        <f t="shared" si="4"/>
        <v/>
      </c>
      <c r="N144" t="str">
        <f t="shared" ca="1" si="5"/>
        <v>Yes</v>
      </c>
    </row>
    <row r="145" spans="1:14" x14ac:dyDescent="0.3">
      <c r="A145" t="s">
        <v>240</v>
      </c>
      <c r="B145" t="s">
        <v>33</v>
      </c>
      <c r="C145" t="s">
        <v>45</v>
      </c>
      <c r="D145" t="s">
        <v>50</v>
      </c>
      <c r="E145" t="s">
        <v>51</v>
      </c>
      <c r="F145" t="s">
        <v>71</v>
      </c>
      <c r="G145" t="s">
        <v>85</v>
      </c>
      <c r="H145" t="s">
        <v>19</v>
      </c>
      <c r="I145">
        <v>75</v>
      </c>
      <c r="J145" t="s">
        <v>47</v>
      </c>
      <c r="K145" t="s">
        <v>67</v>
      </c>
      <c r="L145" t="s">
        <v>22</v>
      </c>
      <c r="M145">
        <f t="shared" si="4"/>
        <v>9</v>
      </c>
      <c r="N145" t="str">
        <f t="shared" ca="1" si="5"/>
        <v>No</v>
      </c>
    </row>
    <row r="146" spans="1:14" x14ac:dyDescent="0.3">
      <c r="A146" t="s">
        <v>241</v>
      </c>
      <c r="B146" t="s">
        <v>73</v>
      </c>
      <c r="C146" t="s">
        <v>25</v>
      </c>
      <c r="D146" t="s">
        <v>50</v>
      </c>
      <c r="E146" t="s">
        <v>51</v>
      </c>
      <c r="F146" t="s">
        <v>43</v>
      </c>
      <c r="H146" t="s">
        <v>29</v>
      </c>
      <c r="J146" t="s">
        <v>47</v>
      </c>
      <c r="K146" t="s">
        <v>67</v>
      </c>
      <c r="L146" t="s">
        <v>31</v>
      </c>
      <c r="M146" t="str">
        <f t="shared" si="4"/>
        <v/>
      </c>
      <c r="N146" t="str">
        <f t="shared" ca="1" si="5"/>
        <v>Yes</v>
      </c>
    </row>
    <row r="147" spans="1:14" x14ac:dyDescent="0.3">
      <c r="A147" t="s">
        <v>242</v>
      </c>
      <c r="B147" t="s">
        <v>165</v>
      </c>
      <c r="C147" t="s">
        <v>25</v>
      </c>
      <c r="D147" t="s">
        <v>50</v>
      </c>
      <c r="E147" t="s">
        <v>51</v>
      </c>
      <c r="F147" t="s">
        <v>133</v>
      </c>
      <c r="H147" t="s">
        <v>37</v>
      </c>
      <c r="J147" t="s">
        <v>38</v>
      </c>
      <c r="K147" t="s">
        <v>58</v>
      </c>
      <c r="L147" t="s">
        <v>22</v>
      </c>
      <c r="M147" t="str">
        <f t="shared" si="4"/>
        <v/>
      </c>
      <c r="N147" t="str">
        <f t="shared" ca="1" si="5"/>
        <v>Yes</v>
      </c>
    </row>
    <row r="148" spans="1:14" x14ac:dyDescent="0.3">
      <c r="A148" t="s">
        <v>243</v>
      </c>
      <c r="B148" t="s">
        <v>65</v>
      </c>
      <c r="C148" t="s">
        <v>60</v>
      </c>
      <c r="D148" t="s">
        <v>26</v>
      </c>
      <c r="E148" t="s">
        <v>27</v>
      </c>
      <c r="F148" t="s">
        <v>104</v>
      </c>
      <c r="H148" t="s">
        <v>29</v>
      </c>
      <c r="J148" t="s">
        <v>47</v>
      </c>
      <c r="K148" t="s">
        <v>67</v>
      </c>
      <c r="L148" t="s">
        <v>31</v>
      </c>
      <c r="M148" t="str">
        <f t="shared" si="4"/>
        <v/>
      </c>
      <c r="N148" t="str">
        <f t="shared" ca="1" si="5"/>
        <v>Yes</v>
      </c>
    </row>
    <row r="149" spans="1:14" x14ac:dyDescent="0.3">
      <c r="A149" t="s">
        <v>244</v>
      </c>
      <c r="B149" t="s">
        <v>81</v>
      </c>
      <c r="C149" t="s">
        <v>42</v>
      </c>
      <c r="D149" t="s">
        <v>88</v>
      </c>
      <c r="E149" t="s">
        <v>89</v>
      </c>
      <c r="F149" t="s">
        <v>85</v>
      </c>
      <c r="G149" t="s">
        <v>143</v>
      </c>
      <c r="H149" t="s">
        <v>19</v>
      </c>
      <c r="I149">
        <v>92</v>
      </c>
      <c r="J149" t="s">
        <v>20</v>
      </c>
      <c r="K149" t="s">
        <v>39</v>
      </c>
      <c r="L149" t="s">
        <v>22</v>
      </c>
      <c r="M149">
        <f t="shared" si="4"/>
        <v>8</v>
      </c>
      <c r="N149" t="str">
        <f t="shared" ca="1" si="5"/>
        <v>No</v>
      </c>
    </row>
    <row r="150" spans="1:14" x14ac:dyDescent="0.3">
      <c r="A150" t="s">
        <v>245</v>
      </c>
      <c r="B150" t="s">
        <v>65</v>
      </c>
      <c r="C150" t="s">
        <v>42</v>
      </c>
      <c r="D150" t="s">
        <v>61</v>
      </c>
      <c r="E150" t="s">
        <v>62</v>
      </c>
      <c r="F150" t="s">
        <v>46</v>
      </c>
      <c r="G150" t="s">
        <v>18</v>
      </c>
      <c r="H150" t="s">
        <v>19</v>
      </c>
      <c r="I150">
        <v>72</v>
      </c>
      <c r="J150" t="s">
        <v>20</v>
      </c>
      <c r="K150" t="s">
        <v>67</v>
      </c>
      <c r="L150" t="s">
        <v>22</v>
      </c>
      <c r="M150">
        <f t="shared" si="4"/>
        <v>11</v>
      </c>
      <c r="N150" t="str">
        <f t="shared" ca="1" si="5"/>
        <v>No</v>
      </c>
    </row>
    <row r="151" spans="1:14" x14ac:dyDescent="0.3">
      <c r="A151" t="s">
        <v>246</v>
      </c>
      <c r="B151" t="s">
        <v>165</v>
      </c>
      <c r="C151" t="s">
        <v>45</v>
      </c>
      <c r="D151" t="s">
        <v>34</v>
      </c>
      <c r="E151" t="s">
        <v>35</v>
      </c>
      <c r="F151" t="s">
        <v>184</v>
      </c>
      <c r="H151" t="s">
        <v>37</v>
      </c>
      <c r="J151" t="s">
        <v>47</v>
      </c>
      <c r="K151" t="s">
        <v>67</v>
      </c>
      <c r="L151" t="s">
        <v>22</v>
      </c>
      <c r="M151" t="str">
        <f t="shared" si="4"/>
        <v/>
      </c>
      <c r="N151" t="str">
        <f t="shared" ca="1" si="5"/>
        <v>Yes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5759-BBF3-4981-B438-14A29F74C44E}">
  <dimension ref="A1:F193"/>
  <sheetViews>
    <sheetView zoomScaleNormal="100" workbookViewId="0">
      <selection activeCell="D26" sqref="D26"/>
    </sheetView>
  </sheetViews>
  <sheetFormatPr defaultRowHeight="14.4" x14ac:dyDescent="0.3"/>
  <cols>
    <col min="1" max="1" width="25.109375" bestFit="1" customWidth="1"/>
    <col min="2" max="2" width="20.109375" bestFit="1" customWidth="1"/>
    <col min="3" max="3" width="19" bestFit="1" customWidth="1"/>
    <col min="4" max="4" width="20.109375" bestFit="1" customWidth="1"/>
    <col min="5" max="5" width="19" bestFit="1" customWidth="1"/>
    <col min="6" max="6" width="27.21875" bestFit="1" customWidth="1"/>
  </cols>
  <sheetData>
    <row r="1" spans="1:5" x14ac:dyDescent="0.3">
      <c r="A1" s="1" t="s">
        <v>249</v>
      </c>
      <c r="B1" t="s">
        <v>251</v>
      </c>
    </row>
    <row r="2" spans="1:5" x14ac:dyDescent="0.3">
      <c r="A2" s="2" t="s">
        <v>19</v>
      </c>
      <c r="B2" s="3">
        <v>0.38666666666666666</v>
      </c>
    </row>
    <row r="3" spans="1:5" x14ac:dyDescent="0.3">
      <c r="A3" s="2" t="s">
        <v>29</v>
      </c>
      <c r="B3" s="3">
        <v>0.25333333333333335</v>
      </c>
    </row>
    <row r="4" spans="1:5" x14ac:dyDescent="0.3">
      <c r="A4" s="2" t="s">
        <v>37</v>
      </c>
      <c r="B4" s="3">
        <v>0.36</v>
      </c>
    </row>
    <row r="5" spans="1:5" x14ac:dyDescent="0.3">
      <c r="A5" s="2" t="s">
        <v>250</v>
      </c>
      <c r="B5" s="3">
        <v>1</v>
      </c>
    </row>
    <row r="15" spans="1:5" x14ac:dyDescent="0.3">
      <c r="A15" s="1" t="s">
        <v>251</v>
      </c>
      <c r="B15" s="1" t="s">
        <v>252</v>
      </c>
    </row>
    <row r="16" spans="1:5" x14ac:dyDescent="0.3">
      <c r="A16" s="1" t="s">
        <v>249</v>
      </c>
      <c r="B16" t="s">
        <v>19</v>
      </c>
      <c r="C16" t="s">
        <v>29</v>
      </c>
      <c r="D16" t="s">
        <v>37</v>
      </c>
      <c r="E16" t="s">
        <v>250</v>
      </c>
    </row>
    <row r="17" spans="1:5" x14ac:dyDescent="0.3">
      <c r="A17" s="2" t="s">
        <v>45</v>
      </c>
      <c r="B17">
        <v>9</v>
      </c>
      <c r="C17">
        <v>8</v>
      </c>
      <c r="D17">
        <v>3</v>
      </c>
      <c r="E17">
        <v>20</v>
      </c>
    </row>
    <row r="18" spans="1:5" x14ac:dyDescent="0.3">
      <c r="A18" s="2" t="s">
        <v>14</v>
      </c>
      <c r="B18">
        <v>11</v>
      </c>
      <c r="C18">
        <v>3</v>
      </c>
      <c r="D18">
        <v>13</v>
      </c>
      <c r="E18">
        <v>27</v>
      </c>
    </row>
    <row r="19" spans="1:5" x14ac:dyDescent="0.3">
      <c r="A19" s="2" t="s">
        <v>56</v>
      </c>
      <c r="B19">
        <v>9</v>
      </c>
      <c r="C19">
        <v>8</v>
      </c>
      <c r="D19">
        <v>10</v>
      </c>
      <c r="E19">
        <v>27</v>
      </c>
    </row>
    <row r="20" spans="1:5" x14ac:dyDescent="0.3">
      <c r="A20" s="2" t="s">
        <v>42</v>
      </c>
      <c r="B20">
        <v>12</v>
      </c>
      <c r="C20">
        <v>7</v>
      </c>
      <c r="D20">
        <v>11</v>
      </c>
      <c r="E20">
        <v>30</v>
      </c>
    </row>
    <row r="21" spans="1:5" x14ac:dyDescent="0.3">
      <c r="A21" s="2" t="s">
        <v>60</v>
      </c>
      <c r="B21">
        <v>8</v>
      </c>
      <c r="C21">
        <v>6</v>
      </c>
      <c r="D21">
        <v>10</v>
      </c>
      <c r="E21">
        <v>24</v>
      </c>
    </row>
    <row r="22" spans="1:5" x14ac:dyDescent="0.3">
      <c r="A22" s="2" t="s">
        <v>25</v>
      </c>
      <c r="B22">
        <v>9</v>
      </c>
      <c r="C22">
        <v>6</v>
      </c>
      <c r="D22">
        <v>7</v>
      </c>
      <c r="E22">
        <v>22</v>
      </c>
    </row>
    <row r="23" spans="1:5" x14ac:dyDescent="0.3">
      <c r="A23" s="2" t="s">
        <v>250</v>
      </c>
      <c r="B23">
        <v>58</v>
      </c>
      <c r="C23">
        <v>38</v>
      </c>
      <c r="D23">
        <v>54</v>
      </c>
      <c r="E23">
        <v>150</v>
      </c>
    </row>
    <row r="27" spans="1:5" x14ac:dyDescent="0.3">
      <c r="A27" s="1" t="s">
        <v>7</v>
      </c>
      <c r="B27" t="s">
        <v>253</v>
      </c>
    </row>
    <row r="28" spans="1:5" x14ac:dyDescent="0.3">
      <c r="A28" s="1" t="s">
        <v>248</v>
      </c>
      <c r="B28" t="s">
        <v>254</v>
      </c>
    </row>
    <row r="30" spans="1:5" x14ac:dyDescent="0.3">
      <c r="A30" s="1" t="s">
        <v>2</v>
      </c>
      <c r="B30" s="1" t="s">
        <v>1</v>
      </c>
      <c r="C30" s="1" t="s">
        <v>4</v>
      </c>
      <c r="D30" t="s">
        <v>251</v>
      </c>
    </row>
    <row r="31" spans="1:5" x14ac:dyDescent="0.3">
      <c r="A31" t="s">
        <v>45</v>
      </c>
      <c r="B31" t="s">
        <v>65</v>
      </c>
      <c r="C31" t="s">
        <v>62</v>
      </c>
      <c r="D31">
        <v>1</v>
      </c>
    </row>
    <row r="32" spans="1:5" x14ac:dyDescent="0.3">
      <c r="B32" t="s">
        <v>256</v>
      </c>
      <c r="D32">
        <v>1</v>
      </c>
    </row>
    <row r="33" spans="2:4" x14ac:dyDescent="0.3">
      <c r="B33" t="s">
        <v>81</v>
      </c>
      <c r="C33" t="s">
        <v>35</v>
      </c>
      <c r="D33">
        <v>1</v>
      </c>
    </row>
    <row r="34" spans="2:4" x14ac:dyDescent="0.3">
      <c r="B34" t="s">
        <v>257</v>
      </c>
      <c r="D34">
        <v>1</v>
      </c>
    </row>
    <row r="35" spans="2:4" x14ac:dyDescent="0.3">
      <c r="B35" t="s">
        <v>140</v>
      </c>
      <c r="C35" t="s">
        <v>35</v>
      </c>
      <c r="D35">
        <v>1</v>
      </c>
    </row>
    <row r="36" spans="2:4" x14ac:dyDescent="0.3">
      <c r="B36" t="s">
        <v>258</v>
      </c>
      <c r="D36">
        <v>1</v>
      </c>
    </row>
    <row r="37" spans="2:4" x14ac:dyDescent="0.3">
      <c r="B37" t="s">
        <v>13</v>
      </c>
      <c r="C37" t="s">
        <v>51</v>
      </c>
      <c r="D37">
        <v>1</v>
      </c>
    </row>
    <row r="38" spans="2:4" x14ac:dyDescent="0.3">
      <c r="B38" t="s">
        <v>259</v>
      </c>
      <c r="D38">
        <v>1</v>
      </c>
    </row>
    <row r="39" spans="2:4" x14ac:dyDescent="0.3">
      <c r="B39" t="s">
        <v>24</v>
      </c>
      <c r="C39" t="s">
        <v>16</v>
      </c>
      <c r="D39">
        <v>1</v>
      </c>
    </row>
    <row r="40" spans="2:4" x14ac:dyDescent="0.3">
      <c r="B40" t="s">
        <v>260</v>
      </c>
      <c r="D40">
        <v>1</v>
      </c>
    </row>
    <row r="41" spans="2:4" x14ac:dyDescent="0.3">
      <c r="B41" t="s">
        <v>114</v>
      </c>
      <c r="C41" t="s">
        <v>27</v>
      </c>
      <c r="D41">
        <v>1</v>
      </c>
    </row>
    <row r="42" spans="2:4" x14ac:dyDescent="0.3">
      <c r="C42" t="s">
        <v>16</v>
      </c>
      <c r="D42">
        <v>1</v>
      </c>
    </row>
    <row r="43" spans="2:4" x14ac:dyDescent="0.3">
      <c r="B43" t="s">
        <v>261</v>
      </c>
      <c r="D43">
        <v>2</v>
      </c>
    </row>
    <row r="44" spans="2:4" x14ac:dyDescent="0.3">
      <c r="B44" t="s">
        <v>75</v>
      </c>
      <c r="C44" t="s">
        <v>62</v>
      </c>
      <c r="D44">
        <v>1</v>
      </c>
    </row>
    <row r="45" spans="2:4" x14ac:dyDescent="0.3">
      <c r="B45" t="s">
        <v>262</v>
      </c>
      <c r="D45">
        <v>1</v>
      </c>
    </row>
    <row r="46" spans="2:4" x14ac:dyDescent="0.3">
      <c r="B46" t="s">
        <v>118</v>
      </c>
      <c r="C46" t="s">
        <v>62</v>
      </c>
      <c r="D46">
        <v>1</v>
      </c>
    </row>
    <row r="47" spans="2:4" x14ac:dyDescent="0.3">
      <c r="B47" t="s">
        <v>263</v>
      </c>
      <c r="D47">
        <v>1</v>
      </c>
    </row>
    <row r="48" spans="2:4" x14ac:dyDescent="0.3">
      <c r="B48" t="s">
        <v>99</v>
      </c>
      <c r="C48" t="s">
        <v>89</v>
      </c>
      <c r="D48">
        <v>1</v>
      </c>
    </row>
    <row r="49" spans="1:6" x14ac:dyDescent="0.3">
      <c r="B49" t="s">
        <v>264</v>
      </c>
      <c r="D49">
        <v>1</v>
      </c>
    </row>
    <row r="50" spans="1:6" x14ac:dyDescent="0.3">
      <c r="B50" t="s">
        <v>165</v>
      </c>
      <c r="C50" t="s">
        <v>35</v>
      </c>
      <c r="D50">
        <v>1</v>
      </c>
      <c r="E50" s="1" t="s">
        <v>249</v>
      </c>
      <c r="F50" s="4" t="s">
        <v>255</v>
      </c>
    </row>
    <row r="51" spans="1:6" x14ac:dyDescent="0.3">
      <c r="B51" t="s">
        <v>265</v>
      </c>
      <c r="D51">
        <v>1</v>
      </c>
      <c r="E51" s="2" t="s">
        <v>27</v>
      </c>
      <c r="F51" s="4">
        <v>8.8333333333333339</v>
      </c>
    </row>
    <row r="52" spans="1:6" x14ac:dyDescent="0.3">
      <c r="A52" t="s">
        <v>266</v>
      </c>
      <c r="D52">
        <v>11</v>
      </c>
      <c r="E52" s="2" t="s">
        <v>35</v>
      </c>
      <c r="F52" s="4">
        <v>6.9</v>
      </c>
    </row>
    <row r="53" spans="1:6" x14ac:dyDescent="0.3">
      <c r="A53" t="s">
        <v>14</v>
      </c>
      <c r="B53" t="s">
        <v>81</v>
      </c>
      <c r="C53" t="s">
        <v>51</v>
      </c>
      <c r="D53">
        <v>1</v>
      </c>
      <c r="E53" s="2" t="s">
        <v>16</v>
      </c>
      <c r="F53" s="4">
        <v>6</v>
      </c>
    </row>
    <row r="54" spans="1:6" x14ac:dyDescent="0.3">
      <c r="C54" t="s">
        <v>89</v>
      </c>
      <c r="D54">
        <v>1</v>
      </c>
      <c r="E54" s="2" t="s">
        <v>51</v>
      </c>
      <c r="F54" s="4">
        <v>8.2666666666666675</v>
      </c>
    </row>
    <row r="55" spans="1:6" x14ac:dyDescent="0.3">
      <c r="B55" t="s">
        <v>257</v>
      </c>
      <c r="D55">
        <v>2</v>
      </c>
      <c r="E55" s="2" t="s">
        <v>62</v>
      </c>
      <c r="F55" s="4">
        <v>8.7142857142857135</v>
      </c>
    </row>
    <row r="56" spans="1:6" x14ac:dyDescent="0.3">
      <c r="B56" t="s">
        <v>94</v>
      </c>
      <c r="C56" t="s">
        <v>35</v>
      </c>
      <c r="D56">
        <v>1</v>
      </c>
      <c r="E56" s="2" t="s">
        <v>89</v>
      </c>
      <c r="F56" s="4">
        <v>7</v>
      </c>
    </row>
    <row r="57" spans="1:6" x14ac:dyDescent="0.3">
      <c r="C57" t="s">
        <v>16</v>
      </c>
      <c r="D57">
        <v>1</v>
      </c>
      <c r="E57" s="2" t="s">
        <v>250</v>
      </c>
      <c r="F57" s="4">
        <v>7.5517241379310347</v>
      </c>
    </row>
    <row r="58" spans="1:6" x14ac:dyDescent="0.3">
      <c r="C58" t="s">
        <v>51</v>
      </c>
      <c r="D58">
        <v>1</v>
      </c>
    </row>
    <row r="59" spans="1:6" x14ac:dyDescent="0.3">
      <c r="B59" t="s">
        <v>267</v>
      </c>
      <c r="D59">
        <v>3</v>
      </c>
    </row>
    <row r="60" spans="1:6" x14ac:dyDescent="0.3">
      <c r="B60" t="s">
        <v>24</v>
      </c>
      <c r="C60" t="s">
        <v>35</v>
      </c>
      <c r="D60">
        <v>1</v>
      </c>
    </row>
    <row r="61" spans="1:6" x14ac:dyDescent="0.3">
      <c r="B61" t="s">
        <v>260</v>
      </c>
      <c r="D61">
        <v>1</v>
      </c>
    </row>
    <row r="62" spans="1:6" x14ac:dyDescent="0.3">
      <c r="B62" t="s">
        <v>114</v>
      </c>
      <c r="C62" t="s">
        <v>89</v>
      </c>
      <c r="D62">
        <v>1</v>
      </c>
    </row>
    <row r="63" spans="1:6" x14ac:dyDescent="0.3">
      <c r="B63" t="s">
        <v>261</v>
      </c>
      <c r="D63">
        <v>1</v>
      </c>
    </row>
    <row r="64" spans="1:6" x14ac:dyDescent="0.3">
      <c r="B64" t="s">
        <v>163</v>
      </c>
      <c r="C64" t="s">
        <v>35</v>
      </c>
      <c r="D64">
        <v>1</v>
      </c>
    </row>
    <row r="65" spans="1:4" x14ac:dyDescent="0.3">
      <c r="B65" t="s">
        <v>268</v>
      </c>
      <c r="D65">
        <v>1</v>
      </c>
    </row>
    <row r="66" spans="1:4" x14ac:dyDescent="0.3">
      <c r="B66" t="s">
        <v>69</v>
      </c>
      <c r="C66" t="s">
        <v>16</v>
      </c>
      <c r="D66">
        <v>1</v>
      </c>
    </row>
    <row r="67" spans="1:4" x14ac:dyDescent="0.3">
      <c r="B67" t="s">
        <v>269</v>
      </c>
      <c r="D67">
        <v>1</v>
      </c>
    </row>
    <row r="68" spans="1:4" x14ac:dyDescent="0.3">
      <c r="B68" t="s">
        <v>73</v>
      </c>
      <c r="C68" t="s">
        <v>16</v>
      </c>
      <c r="D68">
        <v>1</v>
      </c>
    </row>
    <row r="69" spans="1:4" x14ac:dyDescent="0.3">
      <c r="B69" t="s">
        <v>270</v>
      </c>
      <c r="D69">
        <v>1</v>
      </c>
    </row>
    <row r="70" spans="1:4" x14ac:dyDescent="0.3">
      <c r="B70" t="s">
        <v>75</v>
      </c>
      <c r="C70" t="s">
        <v>16</v>
      </c>
      <c r="D70">
        <v>1</v>
      </c>
    </row>
    <row r="71" spans="1:4" x14ac:dyDescent="0.3">
      <c r="B71" t="s">
        <v>262</v>
      </c>
      <c r="D71">
        <v>1</v>
      </c>
    </row>
    <row r="72" spans="1:4" x14ac:dyDescent="0.3">
      <c r="B72" t="s">
        <v>41</v>
      </c>
      <c r="C72" t="s">
        <v>51</v>
      </c>
      <c r="D72">
        <v>1</v>
      </c>
    </row>
    <row r="73" spans="1:4" x14ac:dyDescent="0.3">
      <c r="B73" t="s">
        <v>271</v>
      </c>
      <c r="D73">
        <v>1</v>
      </c>
    </row>
    <row r="74" spans="1:4" x14ac:dyDescent="0.3">
      <c r="B74" t="s">
        <v>99</v>
      </c>
      <c r="C74" t="s">
        <v>89</v>
      </c>
      <c r="D74">
        <v>1</v>
      </c>
    </row>
    <row r="75" spans="1:4" x14ac:dyDescent="0.3">
      <c r="B75" t="s">
        <v>264</v>
      </c>
      <c r="D75">
        <v>1</v>
      </c>
    </row>
    <row r="76" spans="1:4" x14ac:dyDescent="0.3">
      <c r="B76" t="s">
        <v>33</v>
      </c>
      <c r="C76" t="s">
        <v>35</v>
      </c>
      <c r="D76">
        <v>1</v>
      </c>
    </row>
    <row r="77" spans="1:4" x14ac:dyDescent="0.3">
      <c r="C77" t="s">
        <v>16</v>
      </c>
      <c r="D77">
        <v>1</v>
      </c>
    </row>
    <row r="78" spans="1:4" x14ac:dyDescent="0.3">
      <c r="C78" t="s">
        <v>62</v>
      </c>
      <c r="D78">
        <v>1</v>
      </c>
    </row>
    <row r="79" spans="1:4" x14ac:dyDescent="0.3">
      <c r="B79" t="s">
        <v>272</v>
      </c>
      <c r="D79">
        <v>3</v>
      </c>
    </row>
    <row r="80" spans="1:4" x14ac:dyDescent="0.3">
      <c r="A80" t="s">
        <v>273</v>
      </c>
      <c r="D80">
        <v>16</v>
      </c>
    </row>
    <row r="81" spans="1:4" x14ac:dyDescent="0.3">
      <c r="A81" t="s">
        <v>56</v>
      </c>
      <c r="B81" t="s">
        <v>65</v>
      </c>
      <c r="C81" t="s">
        <v>35</v>
      </c>
      <c r="D81">
        <v>1</v>
      </c>
    </row>
    <row r="82" spans="1:4" x14ac:dyDescent="0.3">
      <c r="C82" t="s">
        <v>62</v>
      </c>
      <c r="D82">
        <v>1</v>
      </c>
    </row>
    <row r="83" spans="1:4" x14ac:dyDescent="0.3">
      <c r="C83" t="s">
        <v>89</v>
      </c>
      <c r="D83">
        <v>1</v>
      </c>
    </row>
    <row r="84" spans="1:4" x14ac:dyDescent="0.3">
      <c r="B84" t="s">
        <v>256</v>
      </c>
      <c r="D84">
        <v>3</v>
      </c>
    </row>
    <row r="85" spans="1:4" x14ac:dyDescent="0.3">
      <c r="B85" t="s">
        <v>140</v>
      </c>
      <c r="C85" t="s">
        <v>62</v>
      </c>
      <c r="D85">
        <v>1</v>
      </c>
    </row>
    <row r="86" spans="1:4" x14ac:dyDescent="0.3">
      <c r="B86" t="s">
        <v>258</v>
      </c>
      <c r="D86">
        <v>1</v>
      </c>
    </row>
    <row r="87" spans="1:4" x14ac:dyDescent="0.3">
      <c r="B87" t="s">
        <v>13</v>
      </c>
      <c r="C87" t="s">
        <v>27</v>
      </c>
      <c r="D87">
        <v>1</v>
      </c>
    </row>
    <row r="88" spans="1:4" x14ac:dyDescent="0.3">
      <c r="B88" t="s">
        <v>259</v>
      </c>
      <c r="D88">
        <v>1</v>
      </c>
    </row>
    <row r="89" spans="1:4" x14ac:dyDescent="0.3">
      <c r="B89" t="s">
        <v>24</v>
      </c>
      <c r="C89" t="s">
        <v>51</v>
      </c>
      <c r="D89">
        <v>1</v>
      </c>
    </row>
    <row r="90" spans="1:4" x14ac:dyDescent="0.3">
      <c r="B90" t="s">
        <v>260</v>
      </c>
      <c r="D90">
        <v>1</v>
      </c>
    </row>
    <row r="91" spans="1:4" x14ac:dyDescent="0.3">
      <c r="B91" t="s">
        <v>114</v>
      </c>
      <c r="C91" t="s">
        <v>16</v>
      </c>
      <c r="D91">
        <v>1</v>
      </c>
    </row>
    <row r="92" spans="1:4" x14ac:dyDescent="0.3">
      <c r="B92" t="s">
        <v>261</v>
      </c>
      <c r="D92">
        <v>1</v>
      </c>
    </row>
    <row r="93" spans="1:4" x14ac:dyDescent="0.3">
      <c r="B93" t="s">
        <v>84</v>
      </c>
      <c r="C93" t="s">
        <v>16</v>
      </c>
      <c r="D93">
        <v>1</v>
      </c>
    </row>
    <row r="94" spans="1:4" x14ac:dyDescent="0.3">
      <c r="C94" t="s">
        <v>89</v>
      </c>
      <c r="D94">
        <v>1</v>
      </c>
    </row>
    <row r="95" spans="1:4" x14ac:dyDescent="0.3">
      <c r="B95" t="s">
        <v>274</v>
      </c>
      <c r="D95">
        <v>2</v>
      </c>
    </row>
    <row r="96" spans="1:4" x14ac:dyDescent="0.3">
      <c r="B96" t="s">
        <v>163</v>
      </c>
      <c r="C96" t="s">
        <v>51</v>
      </c>
      <c r="D96">
        <v>1</v>
      </c>
    </row>
    <row r="97" spans="2:4" x14ac:dyDescent="0.3">
      <c r="B97" t="s">
        <v>268</v>
      </c>
      <c r="D97">
        <v>1</v>
      </c>
    </row>
    <row r="98" spans="2:4" x14ac:dyDescent="0.3">
      <c r="B98" t="s">
        <v>73</v>
      </c>
      <c r="C98" t="s">
        <v>62</v>
      </c>
      <c r="D98">
        <v>1</v>
      </c>
    </row>
    <row r="99" spans="2:4" x14ac:dyDescent="0.3">
      <c r="B99" t="s">
        <v>270</v>
      </c>
      <c r="D99">
        <v>1</v>
      </c>
    </row>
    <row r="100" spans="2:4" x14ac:dyDescent="0.3">
      <c r="B100" t="s">
        <v>75</v>
      </c>
      <c r="C100" t="s">
        <v>27</v>
      </c>
      <c r="D100">
        <v>1</v>
      </c>
    </row>
    <row r="101" spans="2:4" x14ac:dyDescent="0.3">
      <c r="B101" t="s">
        <v>262</v>
      </c>
      <c r="D101">
        <v>1</v>
      </c>
    </row>
    <row r="102" spans="2:4" x14ac:dyDescent="0.3">
      <c r="B102" t="s">
        <v>41</v>
      </c>
      <c r="C102" t="s">
        <v>89</v>
      </c>
      <c r="D102">
        <v>1</v>
      </c>
    </row>
    <row r="103" spans="2:4" x14ac:dyDescent="0.3">
      <c r="B103" t="s">
        <v>271</v>
      </c>
      <c r="D103">
        <v>1</v>
      </c>
    </row>
    <row r="104" spans="2:4" x14ac:dyDescent="0.3">
      <c r="B104" t="s">
        <v>118</v>
      </c>
      <c r="C104" t="s">
        <v>89</v>
      </c>
      <c r="D104">
        <v>1</v>
      </c>
    </row>
    <row r="105" spans="2:4" x14ac:dyDescent="0.3">
      <c r="B105" t="s">
        <v>263</v>
      </c>
      <c r="D105">
        <v>1</v>
      </c>
    </row>
    <row r="106" spans="2:4" x14ac:dyDescent="0.3">
      <c r="B106" t="s">
        <v>33</v>
      </c>
      <c r="C106" t="s">
        <v>16</v>
      </c>
      <c r="D106">
        <v>1</v>
      </c>
    </row>
    <row r="107" spans="2:4" x14ac:dyDescent="0.3">
      <c r="B107" t="s">
        <v>272</v>
      </c>
      <c r="D107">
        <v>1</v>
      </c>
    </row>
    <row r="108" spans="2:4" x14ac:dyDescent="0.3">
      <c r="B108" t="s">
        <v>135</v>
      </c>
      <c r="C108" t="s">
        <v>27</v>
      </c>
      <c r="D108">
        <v>1</v>
      </c>
    </row>
    <row r="109" spans="2:4" x14ac:dyDescent="0.3">
      <c r="B109" t="s">
        <v>275</v>
      </c>
      <c r="D109">
        <v>1</v>
      </c>
    </row>
    <row r="110" spans="2:4" x14ac:dyDescent="0.3">
      <c r="B110" t="s">
        <v>165</v>
      </c>
      <c r="C110" t="s">
        <v>27</v>
      </c>
      <c r="D110">
        <v>1</v>
      </c>
    </row>
    <row r="111" spans="2:4" x14ac:dyDescent="0.3">
      <c r="C111" t="s">
        <v>89</v>
      </c>
      <c r="D111">
        <v>1</v>
      </c>
    </row>
    <row r="112" spans="2:4" x14ac:dyDescent="0.3">
      <c r="B112" t="s">
        <v>265</v>
      </c>
      <c r="D112">
        <v>2</v>
      </c>
    </row>
    <row r="113" spans="1:4" x14ac:dyDescent="0.3">
      <c r="A113" t="s">
        <v>276</v>
      </c>
      <c r="D113">
        <v>18</v>
      </c>
    </row>
    <row r="114" spans="1:4" x14ac:dyDescent="0.3">
      <c r="A114" t="s">
        <v>42</v>
      </c>
      <c r="B114" t="s">
        <v>140</v>
      </c>
      <c r="C114" t="s">
        <v>27</v>
      </c>
      <c r="D114">
        <v>1</v>
      </c>
    </row>
    <row r="115" spans="1:4" x14ac:dyDescent="0.3">
      <c r="C115" t="s">
        <v>35</v>
      </c>
      <c r="D115">
        <v>1</v>
      </c>
    </row>
    <row r="116" spans="1:4" x14ac:dyDescent="0.3">
      <c r="B116" t="s">
        <v>258</v>
      </c>
      <c r="D116">
        <v>2</v>
      </c>
    </row>
    <row r="117" spans="1:4" x14ac:dyDescent="0.3">
      <c r="B117" t="s">
        <v>13</v>
      </c>
      <c r="C117" t="s">
        <v>16</v>
      </c>
      <c r="D117">
        <v>1</v>
      </c>
    </row>
    <row r="118" spans="1:4" x14ac:dyDescent="0.3">
      <c r="B118" t="s">
        <v>259</v>
      </c>
      <c r="D118">
        <v>1</v>
      </c>
    </row>
    <row r="119" spans="1:4" x14ac:dyDescent="0.3">
      <c r="B119" t="s">
        <v>24</v>
      </c>
      <c r="C119" t="s">
        <v>35</v>
      </c>
      <c r="D119">
        <v>1</v>
      </c>
    </row>
    <row r="120" spans="1:4" x14ac:dyDescent="0.3">
      <c r="B120" t="s">
        <v>260</v>
      </c>
      <c r="D120">
        <v>1</v>
      </c>
    </row>
    <row r="121" spans="1:4" x14ac:dyDescent="0.3">
      <c r="B121" t="s">
        <v>114</v>
      </c>
      <c r="C121" t="s">
        <v>35</v>
      </c>
      <c r="D121">
        <v>1</v>
      </c>
    </row>
    <row r="122" spans="1:4" x14ac:dyDescent="0.3">
      <c r="C122" t="s">
        <v>51</v>
      </c>
      <c r="D122">
        <v>1</v>
      </c>
    </row>
    <row r="123" spans="1:4" x14ac:dyDescent="0.3">
      <c r="B123" t="s">
        <v>261</v>
      </c>
      <c r="D123">
        <v>2</v>
      </c>
    </row>
    <row r="124" spans="1:4" x14ac:dyDescent="0.3">
      <c r="B124" t="s">
        <v>84</v>
      </c>
      <c r="C124" t="s">
        <v>51</v>
      </c>
      <c r="D124">
        <v>1</v>
      </c>
    </row>
    <row r="125" spans="1:4" x14ac:dyDescent="0.3">
      <c r="C125" t="s">
        <v>89</v>
      </c>
      <c r="D125">
        <v>1</v>
      </c>
    </row>
    <row r="126" spans="1:4" x14ac:dyDescent="0.3">
      <c r="B126" t="s">
        <v>274</v>
      </c>
      <c r="D126">
        <v>2</v>
      </c>
    </row>
    <row r="127" spans="1:4" x14ac:dyDescent="0.3">
      <c r="B127" t="s">
        <v>69</v>
      </c>
      <c r="C127" t="s">
        <v>89</v>
      </c>
      <c r="D127">
        <v>1</v>
      </c>
    </row>
    <row r="128" spans="1:4" x14ac:dyDescent="0.3">
      <c r="B128" t="s">
        <v>269</v>
      </c>
      <c r="D128">
        <v>1</v>
      </c>
    </row>
    <row r="129" spans="1:4" x14ac:dyDescent="0.3">
      <c r="B129" t="s">
        <v>73</v>
      </c>
      <c r="C129" t="s">
        <v>35</v>
      </c>
      <c r="D129">
        <v>1</v>
      </c>
    </row>
    <row r="130" spans="1:4" x14ac:dyDescent="0.3">
      <c r="C130" t="s">
        <v>16</v>
      </c>
      <c r="D130">
        <v>1</v>
      </c>
    </row>
    <row r="131" spans="1:4" x14ac:dyDescent="0.3">
      <c r="B131" t="s">
        <v>270</v>
      </c>
      <c r="D131">
        <v>2</v>
      </c>
    </row>
    <row r="132" spans="1:4" x14ac:dyDescent="0.3">
      <c r="B132" t="s">
        <v>41</v>
      </c>
      <c r="C132" t="s">
        <v>16</v>
      </c>
      <c r="D132">
        <v>1</v>
      </c>
    </row>
    <row r="133" spans="1:4" x14ac:dyDescent="0.3">
      <c r="B133" t="s">
        <v>271</v>
      </c>
      <c r="D133">
        <v>1</v>
      </c>
    </row>
    <row r="134" spans="1:4" x14ac:dyDescent="0.3">
      <c r="B134" t="s">
        <v>33</v>
      </c>
      <c r="C134" t="s">
        <v>62</v>
      </c>
      <c r="D134">
        <v>1</v>
      </c>
    </row>
    <row r="135" spans="1:4" x14ac:dyDescent="0.3">
      <c r="C135" t="s">
        <v>89</v>
      </c>
      <c r="D135">
        <v>1</v>
      </c>
    </row>
    <row r="136" spans="1:4" x14ac:dyDescent="0.3">
      <c r="B136" t="s">
        <v>272</v>
      </c>
      <c r="D136">
        <v>2</v>
      </c>
    </row>
    <row r="137" spans="1:4" x14ac:dyDescent="0.3">
      <c r="B137" t="s">
        <v>55</v>
      </c>
      <c r="C137" t="s">
        <v>62</v>
      </c>
      <c r="D137">
        <v>2</v>
      </c>
    </row>
    <row r="138" spans="1:4" x14ac:dyDescent="0.3">
      <c r="B138" t="s">
        <v>277</v>
      </c>
      <c r="D138">
        <v>2</v>
      </c>
    </row>
    <row r="139" spans="1:4" x14ac:dyDescent="0.3">
      <c r="B139" t="s">
        <v>49</v>
      </c>
      <c r="C139" t="s">
        <v>35</v>
      </c>
      <c r="D139">
        <v>1</v>
      </c>
    </row>
    <row r="140" spans="1:4" x14ac:dyDescent="0.3">
      <c r="C140" t="s">
        <v>51</v>
      </c>
      <c r="D140">
        <v>1</v>
      </c>
    </row>
    <row r="141" spans="1:4" x14ac:dyDescent="0.3">
      <c r="B141" t="s">
        <v>278</v>
      </c>
      <c r="D141">
        <v>2</v>
      </c>
    </row>
    <row r="142" spans="1:4" x14ac:dyDescent="0.3">
      <c r="A142" t="s">
        <v>279</v>
      </c>
      <c r="D142">
        <v>18</v>
      </c>
    </row>
    <row r="143" spans="1:4" x14ac:dyDescent="0.3">
      <c r="A143" t="s">
        <v>60</v>
      </c>
      <c r="B143" t="s">
        <v>65</v>
      </c>
      <c r="C143" t="s">
        <v>27</v>
      </c>
      <c r="D143">
        <v>2</v>
      </c>
    </row>
    <row r="144" spans="1:4" x14ac:dyDescent="0.3">
      <c r="B144" t="s">
        <v>256</v>
      </c>
      <c r="D144">
        <v>2</v>
      </c>
    </row>
    <row r="145" spans="2:4" x14ac:dyDescent="0.3">
      <c r="B145" t="s">
        <v>81</v>
      </c>
      <c r="C145" t="s">
        <v>51</v>
      </c>
      <c r="D145">
        <v>1</v>
      </c>
    </row>
    <row r="146" spans="2:4" x14ac:dyDescent="0.3">
      <c r="B146" t="s">
        <v>257</v>
      </c>
      <c r="D146">
        <v>1</v>
      </c>
    </row>
    <row r="147" spans="2:4" x14ac:dyDescent="0.3">
      <c r="B147" t="s">
        <v>94</v>
      </c>
      <c r="C147" t="s">
        <v>27</v>
      </c>
      <c r="D147">
        <v>1</v>
      </c>
    </row>
    <row r="148" spans="2:4" x14ac:dyDescent="0.3">
      <c r="C148" t="s">
        <v>35</v>
      </c>
      <c r="D148">
        <v>1</v>
      </c>
    </row>
    <row r="149" spans="2:4" x14ac:dyDescent="0.3">
      <c r="C149" t="s">
        <v>51</v>
      </c>
      <c r="D149">
        <v>1</v>
      </c>
    </row>
    <row r="150" spans="2:4" x14ac:dyDescent="0.3">
      <c r="B150" t="s">
        <v>267</v>
      </c>
      <c r="D150">
        <v>3</v>
      </c>
    </row>
    <row r="151" spans="2:4" x14ac:dyDescent="0.3">
      <c r="B151" t="s">
        <v>24</v>
      </c>
      <c r="C151" t="s">
        <v>62</v>
      </c>
      <c r="D151">
        <v>1</v>
      </c>
    </row>
    <row r="152" spans="2:4" x14ac:dyDescent="0.3">
      <c r="B152" t="s">
        <v>260</v>
      </c>
      <c r="D152">
        <v>1</v>
      </c>
    </row>
    <row r="153" spans="2:4" x14ac:dyDescent="0.3">
      <c r="B153" t="s">
        <v>114</v>
      </c>
      <c r="C153" t="s">
        <v>51</v>
      </c>
      <c r="D153">
        <v>1</v>
      </c>
    </row>
    <row r="154" spans="2:4" x14ac:dyDescent="0.3">
      <c r="B154" t="s">
        <v>261</v>
      </c>
      <c r="D154">
        <v>1</v>
      </c>
    </row>
    <row r="155" spans="2:4" x14ac:dyDescent="0.3">
      <c r="B155" t="s">
        <v>73</v>
      </c>
      <c r="C155" t="s">
        <v>89</v>
      </c>
      <c r="D155">
        <v>1</v>
      </c>
    </row>
    <row r="156" spans="2:4" x14ac:dyDescent="0.3">
      <c r="B156" t="s">
        <v>270</v>
      </c>
      <c r="D156">
        <v>1</v>
      </c>
    </row>
    <row r="157" spans="2:4" x14ac:dyDescent="0.3">
      <c r="B157" t="s">
        <v>41</v>
      </c>
      <c r="C157" t="s">
        <v>27</v>
      </c>
      <c r="D157">
        <v>1</v>
      </c>
    </row>
    <row r="158" spans="2:4" x14ac:dyDescent="0.3">
      <c r="B158" t="s">
        <v>271</v>
      </c>
      <c r="D158">
        <v>1</v>
      </c>
    </row>
    <row r="159" spans="2:4" x14ac:dyDescent="0.3">
      <c r="B159" t="s">
        <v>118</v>
      </c>
      <c r="C159" t="s">
        <v>16</v>
      </c>
      <c r="D159">
        <v>1</v>
      </c>
    </row>
    <row r="160" spans="2:4" x14ac:dyDescent="0.3">
      <c r="C160" t="s">
        <v>89</v>
      </c>
      <c r="D160">
        <v>1</v>
      </c>
    </row>
    <row r="161" spans="1:4" x14ac:dyDescent="0.3">
      <c r="B161" t="s">
        <v>263</v>
      </c>
      <c r="D161">
        <v>2</v>
      </c>
    </row>
    <row r="162" spans="1:4" x14ac:dyDescent="0.3">
      <c r="B162" t="s">
        <v>99</v>
      </c>
      <c r="C162" t="s">
        <v>51</v>
      </c>
      <c r="D162">
        <v>1</v>
      </c>
    </row>
    <row r="163" spans="1:4" x14ac:dyDescent="0.3">
      <c r="C163" t="s">
        <v>62</v>
      </c>
      <c r="D163">
        <v>1</v>
      </c>
    </row>
    <row r="164" spans="1:4" x14ac:dyDescent="0.3">
      <c r="B164" t="s">
        <v>264</v>
      </c>
      <c r="D164">
        <v>2</v>
      </c>
    </row>
    <row r="165" spans="1:4" x14ac:dyDescent="0.3">
      <c r="B165" t="s">
        <v>55</v>
      </c>
      <c r="C165" t="s">
        <v>27</v>
      </c>
      <c r="D165">
        <v>1</v>
      </c>
    </row>
    <row r="166" spans="1:4" x14ac:dyDescent="0.3">
      <c r="C166" t="s">
        <v>35</v>
      </c>
      <c r="D166">
        <v>1</v>
      </c>
    </row>
    <row r="167" spans="1:4" x14ac:dyDescent="0.3">
      <c r="B167" t="s">
        <v>277</v>
      </c>
      <c r="D167">
        <v>2</v>
      </c>
    </row>
    <row r="168" spans="1:4" x14ac:dyDescent="0.3">
      <c r="A168" t="s">
        <v>280</v>
      </c>
      <c r="D168">
        <v>16</v>
      </c>
    </row>
    <row r="169" spans="1:4" x14ac:dyDescent="0.3">
      <c r="A169" t="s">
        <v>25</v>
      </c>
      <c r="B169" t="s">
        <v>94</v>
      </c>
      <c r="C169" t="s">
        <v>51</v>
      </c>
      <c r="D169">
        <v>1</v>
      </c>
    </row>
    <row r="170" spans="1:4" x14ac:dyDescent="0.3">
      <c r="B170" t="s">
        <v>267</v>
      </c>
      <c r="D170">
        <v>1</v>
      </c>
    </row>
    <row r="171" spans="1:4" x14ac:dyDescent="0.3">
      <c r="B171" t="s">
        <v>13</v>
      </c>
      <c r="C171" t="s">
        <v>89</v>
      </c>
      <c r="D171">
        <v>1</v>
      </c>
    </row>
    <row r="172" spans="1:4" x14ac:dyDescent="0.3">
      <c r="B172" t="s">
        <v>259</v>
      </c>
      <c r="D172">
        <v>1</v>
      </c>
    </row>
    <row r="173" spans="1:4" x14ac:dyDescent="0.3">
      <c r="B173" t="s">
        <v>24</v>
      </c>
      <c r="C173" t="s">
        <v>27</v>
      </c>
      <c r="D173">
        <v>1</v>
      </c>
    </row>
    <row r="174" spans="1:4" x14ac:dyDescent="0.3">
      <c r="C174" t="s">
        <v>16</v>
      </c>
      <c r="D174">
        <v>1</v>
      </c>
    </row>
    <row r="175" spans="1:4" x14ac:dyDescent="0.3">
      <c r="B175" t="s">
        <v>260</v>
      </c>
      <c r="D175">
        <v>2</v>
      </c>
    </row>
    <row r="176" spans="1:4" x14ac:dyDescent="0.3">
      <c r="B176" t="s">
        <v>84</v>
      </c>
      <c r="C176" t="s">
        <v>51</v>
      </c>
      <c r="D176">
        <v>1</v>
      </c>
    </row>
    <row r="177" spans="1:4" x14ac:dyDescent="0.3">
      <c r="B177" t="s">
        <v>274</v>
      </c>
      <c r="D177">
        <v>1</v>
      </c>
    </row>
    <row r="178" spans="1:4" x14ac:dyDescent="0.3">
      <c r="B178" t="s">
        <v>163</v>
      </c>
      <c r="C178" t="s">
        <v>35</v>
      </c>
      <c r="D178">
        <v>1</v>
      </c>
    </row>
    <row r="179" spans="1:4" x14ac:dyDescent="0.3">
      <c r="B179" t="s">
        <v>268</v>
      </c>
      <c r="D179">
        <v>1</v>
      </c>
    </row>
    <row r="180" spans="1:4" x14ac:dyDescent="0.3">
      <c r="B180" t="s">
        <v>73</v>
      </c>
      <c r="C180" t="s">
        <v>51</v>
      </c>
      <c r="D180">
        <v>1</v>
      </c>
    </row>
    <row r="181" spans="1:4" x14ac:dyDescent="0.3">
      <c r="B181" t="s">
        <v>270</v>
      </c>
      <c r="D181">
        <v>1</v>
      </c>
    </row>
    <row r="182" spans="1:4" x14ac:dyDescent="0.3">
      <c r="B182" t="s">
        <v>75</v>
      </c>
      <c r="C182" t="s">
        <v>62</v>
      </c>
      <c r="D182">
        <v>1</v>
      </c>
    </row>
    <row r="183" spans="1:4" x14ac:dyDescent="0.3">
      <c r="B183" t="s">
        <v>262</v>
      </c>
      <c r="D183">
        <v>1</v>
      </c>
    </row>
    <row r="184" spans="1:4" x14ac:dyDescent="0.3">
      <c r="B184" t="s">
        <v>41</v>
      </c>
      <c r="C184" t="s">
        <v>89</v>
      </c>
      <c r="D184">
        <v>1</v>
      </c>
    </row>
    <row r="185" spans="1:4" x14ac:dyDescent="0.3">
      <c r="B185" t="s">
        <v>271</v>
      </c>
      <c r="D185">
        <v>1</v>
      </c>
    </row>
    <row r="186" spans="1:4" x14ac:dyDescent="0.3">
      <c r="B186" t="s">
        <v>118</v>
      </c>
      <c r="C186" t="s">
        <v>35</v>
      </c>
      <c r="D186">
        <v>1</v>
      </c>
    </row>
    <row r="187" spans="1:4" x14ac:dyDescent="0.3">
      <c r="C187" t="s">
        <v>89</v>
      </c>
      <c r="D187">
        <v>1</v>
      </c>
    </row>
    <row r="188" spans="1:4" x14ac:dyDescent="0.3">
      <c r="B188" t="s">
        <v>263</v>
      </c>
      <c r="D188">
        <v>2</v>
      </c>
    </row>
    <row r="189" spans="1:4" x14ac:dyDescent="0.3">
      <c r="B189" t="s">
        <v>165</v>
      </c>
      <c r="C189" t="s">
        <v>51</v>
      </c>
      <c r="D189">
        <v>1</v>
      </c>
    </row>
    <row r="190" spans="1:4" x14ac:dyDescent="0.3">
      <c r="C190" t="s">
        <v>62</v>
      </c>
      <c r="D190">
        <v>1</v>
      </c>
    </row>
    <row r="191" spans="1:4" x14ac:dyDescent="0.3">
      <c r="B191" t="s">
        <v>265</v>
      </c>
      <c r="D191">
        <v>2</v>
      </c>
    </row>
    <row r="192" spans="1:4" x14ac:dyDescent="0.3">
      <c r="A192" t="s">
        <v>281</v>
      </c>
      <c r="D192">
        <v>13</v>
      </c>
    </row>
    <row r="193" spans="1:4" x14ac:dyDescent="0.3">
      <c r="A193" t="s">
        <v>250</v>
      </c>
      <c r="D193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C37A2-85E7-4948-AA3E-DA0D94F02CAE}">
  <sheetPr>
    <pageSetUpPr fitToPage="1"/>
  </sheetPr>
  <dimension ref="A1:H8"/>
  <sheetViews>
    <sheetView tabSelected="1" zoomScale="31" zoomScaleNormal="100" workbookViewId="0">
      <selection sqref="A1:L48"/>
    </sheetView>
  </sheetViews>
  <sheetFormatPr defaultRowHeight="14.4" x14ac:dyDescent="0.3"/>
  <cols>
    <col min="2" max="2" width="30.44140625" customWidth="1"/>
    <col min="4" max="4" width="25.33203125" customWidth="1"/>
    <col min="5" max="5" width="12.44140625" customWidth="1"/>
    <col min="6" max="6" width="28" customWidth="1"/>
    <col min="7" max="7" width="13.109375" customWidth="1"/>
    <col min="8" max="8" width="26.6640625" customWidth="1"/>
  </cols>
  <sheetData>
    <row r="1" spans="1:8" ht="22.2" x14ac:dyDescent="0.45">
      <c r="A1" s="7" t="s">
        <v>282</v>
      </c>
      <c r="B1" s="8"/>
      <c r="C1" s="8"/>
      <c r="D1" s="8"/>
      <c r="E1" s="8"/>
      <c r="F1" s="8"/>
    </row>
    <row r="3" spans="1:8" ht="182.4" customHeight="1" x14ac:dyDescent="0.3">
      <c r="B3" s="6">
        <f>COUNTA(Cleaned_Data!A:A) - 1</f>
        <v>150</v>
      </c>
      <c r="D3" s="5">
        <f>COUNTIF(Cleaned_Data!H:H,"Completed") / (COUNTA(Cleaned_Data!H:H)-1)</f>
        <v>0.38666666666666666</v>
      </c>
      <c r="F3">
        <f>COUNTIF(Cleaned_Data!H:H,"In Progress") + COUNTIF(Cleaned_Data!H:H,"Not Started")</f>
        <v>92</v>
      </c>
      <c r="H3">
        <f ca="1">COUNTIF(Cleaned_Data!N:N,"Yes")</f>
        <v>92</v>
      </c>
    </row>
    <row r="8" spans="1:8" x14ac:dyDescent="0.3">
      <c r="B8" s="5"/>
    </row>
  </sheetData>
  <mergeCells count="1">
    <mergeCell ref="A1:F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Raw_Data</vt:lpstr>
      <vt:lpstr>Cleaned_Data</vt:lpstr>
      <vt:lpstr>Reports</vt:lpstr>
      <vt:lpstr>Dashboard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Bainaboina</cp:lastModifiedBy>
  <cp:lastPrinted>2025-11-20T14:04:07Z</cp:lastPrinted>
  <dcterms:created xsi:type="dcterms:W3CDTF">2025-11-20T10:09:58Z</dcterms:created>
  <dcterms:modified xsi:type="dcterms:W3CDTF">2025-11-20T14:26:33Z</dcterms:modified>
</cp:coreProperties>
</file>